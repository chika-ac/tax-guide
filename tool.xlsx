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元データ" sheetId="1" state="visible" r:id="rId3"/>
    <sheet name="ダッシュボード" sheetId="2" state="visible" r:id="rId4"/>
    <sheet name="VBAコード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<sst xmlns="http://schemas.openxmlformats.org/spreadsheetml/2006/main" count="2879" uniqueCount="337">
  <si>
    <t xml:space="preserve">ApplyReceptionNo</t>
  </si>
  <si>
    <t xml:space="preserve">ApplyStaffId</t>
  </si>
  <si>
    <t xml:space="preserve">ApplyStaffName</t>
  </si>
  <si>
    <t xml:space="preserve">CenterMatterStatusCD</t>
  </si>
  <si>
    <t xml:space="preserve">CenterMatterStatusName</t>
  </si>
  <si>
    <t xml:space="preserve">HistoryExistCD</t>
  </si>
  <si>
    <t xml:space="preserve">HistoryExistName</t>
  </si>
  <si>
    <t xml:space="preserve">ReasonGenerateDate</t>
  </si>
  <si>
    <t xml:space="preserve">ApplyDate</t>
  </si>
  <si>
    <t xml:space="preserve">ApplyReceptionDate</t>
  </si>
  <si>
    <t xml:space="preserve">ContactPersonRegistDate</t>
  </si>
  <si>
    <t xml:space="preserve">ApprovedRegistDate</t>
  </si>
  <si>
    <t xml:space="preserve">ApplyDataOutputDate</t>
  </si>
  <si>
    <t xml:space="preserve">CompletedRegistDate</t>
  </si>
  <si>
    <t xml:space="preserve">CenterProcessTypeText</t>
  </si>
  <si>
    <t xml:space="preserve">hasTenpu</t>
  </si>
  <si>
    <t xml:space="preserve">hasJyumin</t>
  </si>
  <si>
    <t xml:space="preserve">hasHassin</t>
  </si>
  <si>
    <t xml:space="preserve">hasKakunin</t>
  </si>
  <si>
    <t xml:space="preserve">hasKanri</t>
  </si>
  <si>
    <t xml:space="preserve">hasSV</t>
  </si>
  <si>
    <t xml:space="preserve">hasData</t>
  </si>
  <si>
    <t xml:space="preserve">hasSakujyo</t>
  </si>
  <si>
    <t xml:space="preserve">hasTokubetsu</t>
  </si>
  <si>
    <t xml:space="preserve">hasTokubetsu1</t>
  </si>
  <si>
    <t xml:space="preserve">hasTokubetsu2</t>
  </si>
  <si>
    <t xml:space="preserve">hasTokubetsu3</t>
  </si>
  <si>
    <t xml:space="preserve">NotificationReasonCD</t>
  </si>
  <si>
    <t xml:space="preserve">NotificationReasonKbn</t>
  </si>
  <si>
    <t xml:space="preserve">NotificationReasonKbnText</t>
  </si>
  <si>
    <t xml:space="preserve">NotificationReasonKbnContent</t>
  </si>
  <si>
    <t xml:space="preserve">AlimonyFlg</t>
  </si>
  <si>
    <t xml:space="preserve">HealthInsuranceFlg</t>
  </si>
  <si>
    <t xml:space="preserve">TaxBiteFlg</t>
  </si>
  <si>
    <t xml:space="preserve">cancelFlgText</t>
  </si>
  <si>
    <t xml:space="preserve">TemporaryText</t>
  </si>
  <si>
    <t xml:space="preserve">ApplyContent</t>
  </si>
  <si>
    <t xml:space="preserve">★最下行</t>
  </si>
  <si>
    <t xml:space="preserve">★経過日数</t>
  </si>
  <si>
    <t xml:space="preserve">★未完了</t>
  </si>
  <si>
    <t xml:space="preserve">★共済あり</t>
  </si>
  <si>
    <r>
      <rPr>
        <sz val="8"/>
        <color rgb="FF000000"/>
        <rFont val="Arial"/>
        <family val="0"/>
        <charset val="1"/>
      </rPr>
      <t xml:space="preserve">31 </t>
    </r>
    <r>
      <rPr>
        <sz val="8"/>
        <color rgb="FF000000"/>
        <rFont val="Noto Sans CJK SC"/>
        <family val="2"/>
      </rPr>
      <t xml:space="preserve">ＯＰ確認中</t>
    </r>
  </si>
  <si>
    <r>
      <rPr>
        <sz val="8"/>
        <color rgb="FF000000"/>
        <rFont val="Arial"/>
        <family val="0"/>
        <charset val="1"/>
      </rPr>
      <t xml:space="preserve">21 </t>
    </r>
    <r>
      <rPr>
        <sz val="8"/>
        <color rgb="FF000000"/>
        <rFont val="Noto Sans CJK SC"/>
        <family val="2"/>
      </rPr>
      <t xml:space="preserve">担当者登録</t>
    </r>
  </si>
  <si>
    <t xml:space="preserve">減</t>
  </si>
  <si>
    <r>
      <rPr>
        <sz val="8"/>
        <color rgb="FF000000"/>
        <rFont val="Arial"/>
        <family val="0"/>
        <charset val="1"/>
      </rPr>
      <t xml:space="preserve">47 </t>
    </r>
    <r>
      <rPr>
        <sz val="8"/>
        <color rgb="FF000000"/>
        <rFont val="Noto Sans CJK SC"/>
        <family val="2"/>
      </rPr>
      <t xml:space="preserve">扶養親族の就職</t>
    </r>
  </si>
  <si>
    <t xml:space="preserve">対応不要　該当職員無し</t>
  </si>
  <si>
    <t xml:space="preserve">増</t>
  </si>
  <si>
    <r>
      <rPr>
        <sz val="8"/>
        <color rgb="FF000000"/>
        <rFont val="Arial"/>
        <family val="0"/>
        <charset val="1"/>
      </rPr>
      <t xml:space="preserve">22 </t>
    </r>
    <r>
      <rPr>
        <sz val="8"/>
        <color rgb="FF000000"/>
        <rFont val="Noto Sans CJK SC"/>
        <family val="2"/>
      </rPr>
      <t xml:space="preserve">扶養親族の退職</t>
    </r>
  </si>
  <si>
    <t xml:space="preserve">対応不要</t>
  </si>
  <si>
    <r>
      <rPr>
        <sz val="8"/>
        <color rgb="FF000000"/>
        <rFont val="Arial"/>
        <family val="0"/>
        <charset val="1"/>
      </rPr>
      <t xml:space="preserve">40 </t>
    </r>
    <r>
      <rPr>
        <sz val="8"/>
        <color rgb="FF000000"/>
        <rFont val="Noto Sans CJK SC"/>
        <family val="2"/>
      </rPr>
      <t xml:space="preserve">差戻し</t>
    </r>
  </si>
  <si>
    <r>
      <rPr>
        <sz val="8"/>
        <color rgb="FF000000"/>
        <rFont val="Arial"/>
        <family val="0"/>
        <charset val="1"/>
      </rPr>
      <t xml:space="preserve">20 </t>
    </r>
    <r>
      <rPr>
        <sz val="8"/>
        <color rgb="FF000000"/>
        <rFont val="Noto Sans CJK SC"/>
        <family val="2"/>
      </rPr>
      <t xml:space="preserve">差戻し</t>
    </r>
  </si>
  <si>
    <r>
      <rPr>
        <sz val="8"/>
        <color rgb="FF000000"/>
        <rFont val="Arial"/>
        <family val="0"/>
        <charset val="1"/>
      </rPr>
      <t xml:space="preserve">40 </t>
    </r>
    <r>
      <rPr>
        <sz val="8"/>
        <color rgb="FF000000"/>
        <rFont val="Noto Sans CJK SC"/>
        <family val="2"/>
      </rPr>
      <t xml:space="preserve">ＳＶ承認</t>
    </r>
  </si>
  <si>
    <r>
      <rPr>
        <sz val="8"/>
        <color rgb="FF000000"/>
        <rFont val="Arial"/>
        <family val="0"/>
        <charset val="1"/>
      </rPr>
      <t xml:space="preserve">23 </t>
    </r>
    <r>
      <rPr>
        <sz val="8"/>
        <color rgb="FF000000"/>
        <rFont val="Noto Sans CJK SC"/>
        <family val="2"/>
      </rPr>
      <t xml:space="preserve">本人の結婚</t>
    </r>
  </si>
  <si>
    <r>
      <rPr>
        <sz val="8"/>
        <color rgb="FF000000"/>
        <rFont val="Arial"/>
        <family val="0"/>
        <charset val="1"/>
      </rPr>
      <t xml:space="preserve">23 </t>
    </r>
    <r>
      <rPr>
        <sz val="8"/>
        <color rgb="FF000000"/>
        <rFont val="Noto Sans CJK SC"/>
        <family val="2"/>
      </rPr>
      <t xml:space="preserve">結婚</t>
    </r>
  </si>
  <si>
    <r>
      <rPr>
        <sz val="8"/>
        <color rgb="FF000000"/>
        <rFont val="Arial"/>
        <family val="0"/>
        <charset val="1"/>
      </rPr>
      <t xml:space="preserve">25 </t>
    </r>
    <r>
      <rPr>
        <sz val="8"/>
        <color rgb="FF000000"/>
        <rFont val="Noto Sans CJK SC"/>
        <family val="2"/>
      </rPr>
      <t xml:space="preserve">育休</t>
    </r>
  </si>
  <si>
    <r>
      <rPr>
        <sz val="8"/>
        <color rgb="FF000000"/>
        <rFont val="Arial"/>
        <family val="0"/>
        <charset val="1"/>
      </rPr>
      <t xml:space="preserve">21 </t>
    </r>
    <r>
      <rPr>
        <sz val="8"/>
        <color rgb="FF000000"/>
        <rFont val="Noto Sans CJK SC"/>
        <family val="2"/>
      </rPr>
      <t xml:space="preserve">出生</t>
    </r>
  </si>
  <si>
    <r>
      <rPr>
        <sz val="8"/>
        <color rgb="FF000000"/>
        <rFont val="Arial"/>
        <family val="0"/>
        <charset val="1"/>
      </rPr>
      <t xml:space="preserve">22 </t>
    </r>
    <r>
      <rPr>
        <sz val="8"/>
        <color rgb="FF000000"/>
        <rFont val="Noto Sans CJK SC"/>
        <family val="2"/>
      </rPr>
      <t xml:space="preserve">担当者変更</t>
    </r>
  </si>
  <si>
    <r>
      <rPr>
        <sz val="8"/>
        <color rgb="FF000000"/>
        <rFont val="Arial"/>
        <family val="0"/>
        <charset val="1"/>
      </rPr>
      <t xml:space="preserve">26 </t>
    </r>
    <r>
      <rPr>
        <sz val="8"/>
        <color rgb="FF000000"/>
        <rFont val="Noto Sans CJK SC"/>
        <family val="2"/>
      </rPr>
      <t xml:space="preserve">扶養者の変更</t>
    </r>
  </si>
  <si>
    <t xml:space="preserve">確</t>
  </si>
  <si>
    <r>
      <rPr>
        <sz val="8"/>
        <color rgb="FF000000"/>
        <rFont val="Arial"/>
        <family val="0"/>
        <charset val="1"/>
      </rPr>
      <t xml:space="preserve">50 </t>
    </r>
    <r>
      <rPr>
        <sz val="8"/>
        <color rgb="FF000000"/>
        <rFont val="Noto Sans CJK SC"/>
        <family val="2"/>
      </rPr>
      <t xml:space="preserve">扶養者の変更</t>
    </r>
  </si>
  <si>
    <t xml:space="preserve">添</t>
  </si>
  <si>
    <r>
      <rPr>
        <sz val="8"/>
        <color rgb="FF000000"/>
        <rFont val="Arial"/>
        <family val="0"/>
        <charset val="1"/>
      </rPr>
      <t xml:space="preserve">99 </t>
    </r>
    <r>
      <rPr>
        <sz val="8"/>
        <color rgb="FF000000"/>
        <rFont val="Noto Sans CJK SC"/>
        <family val="2"/>
      </rPr>
      <t xml:space="preserve">その他</t>
    </r>
  </si>
  <si>
    <r>
      <rPr>
        <sz val="8"/>
        <color rgb="FF000000"/>
        <rFont val="Arial"/>
        <family val="0"/>
        <charset val="1"/>
      </rPr>
      <t xml:space="preserve">57 </t>
    </r>
    <r>
      <rPr>
        <sz val="8"/>
        <color rgb="FF000000"/>
        <rFont val="Noto Sans CJK SC"/>
        <family val="2"/>
      </rPr>
      <t xml:space="preserve">削除待ち登録</t>
    </r>
  </si>
  <si>
    <t xml:space="preserve">削</t>
  </si>
  <si>
    <t xml:space="preserve">管</t>
  </si>
  <si>
    <r>
      <rPr>
        <sz val="8"/>
        <color rgb="FF000000"/>
        <rFont val="Arial"/>
        <family val="0"/>
        <charset val="1"/>
      </rPr>
      <t xml:space="preserve">09 </t>
    </r>
    <r>
      <rPr>
        <sz val="8"/>
        <color rgb="FF000000"/>
        <rFont val="Noto Sans CJK SC"/>
        <family val="2"/>
      </rPr>
      <t xml:space="preserve">死亡</t>
    </r>
  </si>
  <si>
    <r>
      <rPr>
        <sz val="8"/>
        <color rgb="FF000000"/>
        <rFont val="Arial"/>
        <family val="0"/>
        <charset val="1"/>
      </rPr>
      <t xml:space="preserve">27 </t>
    </r>
    <r>
      <rPr>
        <sz val="8"/>
        <color rgb="FF000000"/>
        <rFont val="Noto Sans CJK SC"/>
        <family val="2"/>
      </rPr>
      <t xml:space="preserve">収入限度額以下</t>
    </r>
  </si>
  <si>
    <r>
      <rPr>
        <sz val="8"/>
        <color rgb="FF000000"/>
        <rFont val="Arial"/>
        <family val="0"/>
        <charset val="1"/>
      </rPr>
      <t xml:space="preserve">55 </t>
    </r>
    <r>
      <rPr>
        <sz val="8"/>
        <color rgb="FF000000"/>
        <rFont val="Noto Sans CJK SC"/>
        <family val="2"/>
      </rPr>
      <t xml:space="preserve">添付書類待ち登録</t>
    </r>
  </si>
  <si>
    <t xml:space="preserve">Ｓ</t>
  </si>
  <si>
    <r>
      <rPr>
        <sz val="8"/>
        <color rgb="FF000000"/>
        <rFont val="Arial"/>
        <family val="0"/>
        <charset val="1"/>
      </rPr>
      <t xml:space="preserve">20 </t>
    </r>
    <r>
      <rPr>
        <sz val="8"/>
        <color rgb="FF000000"/>
        <rFont val="Noto Sans CJK SC"/>
        <family val="2"/>
      </rPr>
      <t xml:space="preserve">確認待ち</t>
    </r>
  </si>
  <si>
    <r>
      <rPr>
        <sz val="8"/>
        <color rgb="FF000000"/>
        <rFont val="Arial"/>
        <family val="0"/>
        <charset val="1"/>
      </rPr>
      <t xml:space="preserve">99 </t>
    </r>
    <r>
      <rPr>
        <sz val="8"/>
        <color rgb="FF000000"/>
        <rFont val="Noto Sans CJK SC"/>
        <family val="2"/>
      </rPr>
      <t xml:space="preserve">データメンテナンス</t>
    </r>
  </si>
  <si>
    <t xml:space="preserve">発</t>
  </si>
  <si>
    <r>
      <rPr>
        <sz val="8"/>
        <color rgb="FF000000"/>
        <rFont val="Arial"/>
        <family val="0"/>
        <charset val="1"/>
      </rPr>
      <t xml:space="preserve">51 </t>
    </r>
    <r>
      <rPr>
        <sz val="8"/>
        <color rgb="FF000000"/>
        <rFont val="Noto Sans CJK SC"/>
        <family val="2"/>
      </rPr>
      <t xml:space="preserve">収入限度額以上</t>
    </r>
  </si>
  <si>
    <r>
      <rPr>
        <sz val="8"/>
        <color rgb="FF000000"/>
        <rFont val="Arial"/>
        <family val="0"/>
        <charset val="1"/>
      </rPr>
      <t xml:space="preserve">03 </t>
    </r>
    <r>
      <rPr>
        <sz val="8"/>
        <color rgb="FF000000"/>
        <rFont val="Noto Sans CJK SC"/>
        <family val="2"/>
      </rPr>
      <t xml:space="preserve">離婚</t>
    </r>
  </si>
  <si>
    <r>
      <rPr>
        <sz val="8"/>
        <color rgb="FF000000"/>
        <rFont val="Arial"/>
        <family val="0"/>
        <charset val="1"/>
      </rPr>
      <t xml:space="preserve">32 </t>
    </r>
    <r>
      <rPr>
        <sz val="8"/>
        <color rgb="FF000000"/>
        <rFont val="Noto Sans CJK SC"/>
        <family val="2"/>
      </rPr>
      <t xml:space="preserve">ＳＶ確認中</t>
    </r>
  </si>
  <si>
    <r>
      <rPr>
        <sz val="8"/>
        <color rgb="FF000000"/>
        <rFont val="Arial"/>
        <family val="0"/>
        <charset val="1"/>
      </rPr>
      <t xml:space="preserve">30 </t>
    </r>
    <r>
      <rPr>
        <sz val="8"/>
        <color rgb="FF000000"/>
        <rFont val="Noto Sans CJK SC"/>
        <family val="2"/>
      </rPr>
      <t xml:space="preserve">登録</t>
    </r>
  </si>
  <si>
    <r>
      <rPr>
        <sz val="8"/>
        <color rgb="FF000000"/>
        <rFont val="Arial"/>
        <family val="0"/>
        <charset val="1"/>
      </rPr>
      <t xml:space="preserve">98 </t>
    </r>
    <r>
      <rPr>
        <sz val="8"/>
        <color rgb="FF000000"/>
        <rFont val="Noto Sans CJK SC"/>
        <family val="2"/>
      </rPr>
      <t xml:space="preserve">年金支給に係る変更</t>
    </r>
  </si>
  <si>
    <r>
      <rPr>
        <sz val="8"/>
        <color rgb="FF000000"/>
        <rFont val="Arial"/>
        <family val="0"/>
        <charset val="1"/>
      </rPr>
      <t xml:space="preserve">30 </t>
    </r>
    <r>
      <rPr>
        <sz val="8"/>
        <color rgb="FF000000"/>
        <rFont val="Noto Sans CJK SC"/>
        <family val="2"/>
      </rPr>
      <t xml:space="preserve">却下</t>
    </r>
  </si>
  <si>
    <r>
      <rPr>
        <sz val="8"/>
        <color rgb="FF000000"/>
        <rFont val="Arial"/>
        <family val="0"/>
        <charset val="1"/>
      </rPr>
      <t xml:space="preserve">51 </t>
    </r>
    <r>
      <rPr>
        <sz val="8"/>
        <color rgb="FF000000"/>
        <rFont val="Noto Sans CJK SC"/>
        <family val="2"/>
      </rPr>
      <t xml:space="preserve">管理スタッフ却下</t>
    </r>
  </si>
  <si>
    <t xml:space="preserve">デ</t>
  </si>
  <si>
    <t xml:space="preserve">一時保存</t>
  </si>
  <si>
    <r>
      <rPr>
        <sz val="8"/>
        <color rgb="FF000000"/>
        <rFont val="Arial"/>
        <family val="0"/>
        <charset val="1"/>
      </rPr>
      <t xml:space="preserve">10 </t>
    </r>
    <r>
      <rPr>
        <sz val="8"/>
        <color rgb="FF000000"/>
        <rFont val="Noto Sans CJK SC"/>
        <family val="2"/>
      </rPr>
      <t xml:space="preserve">申請</t>
    </r>
  </si>
  <si>
    <r>
      <rPr>
        <sz val="8"/>
        <color rgb="FF000000"/>
        <rFont val="Arial"/>
        <family val="0"/>
        <charset val="1"/>
      </rPr>
      <t xml:space="preserve">31 </t>
    </r>
    <r>
      <rPr>
        <sz val="8"/>
        <color rgb="FF000000"/>
        <rFont val="Noto Sans CJK SC"/>
        <family val="2"/>
      </rPr>
      <t xml:space="preserve">差戻し</t>
    </r>
  </si>
  <si>
    <r>
      <rPr>
        <sz val="8"/>
        <color rgb="FF000000"/>
        <rFont val="Arial"/>
        <family val="0"/>
        <charset val="1"/>
      </rPr>
      <t xml:space="preserve">49 </t>
    </r>
    <r>
      <rPr>
        <sz val="8"/>
        <color rgb="FF000000"/>
        <rFont val="Noto Sans CJK SC"/>
        <family val="2"/>
      </rPr>
      <t xml:space="preserve">復職</t>
    </r>
  </si>
  <si>
    <r>
      <rPr>
        <sz val="8"/>
        <color rgb="FF000000"/>
        <rFont val="Arial"/>
        <family val="0"/>
        <charset val="1"/>
      </rPr>
      <t xml:space="preserve">34 </t>
    </r>
    <r>
      <rPr>
        <sz val="8"/>
        <color rgb="FF000000"/>
        <rFont val="Noto Sans CJK SC"/>
        <family val="2"/>
      </rPr>
      <t xml:space="preserve">廃業</t>
    </r>
  </si>
  <si>
    <r>
      <rPr>
        <sz val="8"/>
        <color rgb="FF000000"/>
        <rFont val="Arial"/>
        <family val="0"/>
        <charset val="1"/>
      </rPr>
      <t xml:space="preserve">54 </t>
    </r>
    <r>
      <rPr>
        <sz val="8"/>
        <color rgb="FF000000"/>
        <rFont val="Noto Sans CJK SC"/>
        <family val="2"/>
      </rPr>
      <t xml:space="preserve">別居</t>
    </r>
  </si>
  <si>
    <r>
      <rPr>
        <sz val="8"/>
        <color rgb="FF000000"/>
        <rFont val="Arial"/>
        <family val="0"/>
        <charset val="1"/>
      </rPr>
      <t xml:space="preserve">11 </t>
    </r>
    <r>
      <rPr>
        <sz val="8"/>
        <color rgb="FF000000"/>
        <rFont val="Noto Sans CJK SC"/>
        <family val="2"/>
      </rPr>
      <t xml:space="preserve">差戻し申請</t>
    </r>
  </si>
  <si>
    <r>
      <rPr>
        <sz val="8"/>
        <color rgb="FF000000"/>
        <rFont val="Arial"/>
        <family val="0"/>
        <charset val="1"/>
      </rPr>
      <t xml:space="preserve">36 </t>
    </r>
    <r>
      <rPr>
        <sz val="8"/>
        <color rgb="FF000000"/>
        <rFont val="Noto Sans CJK SC"/>
        <family val="2"/>
      </rPr>
      <t xml:space="preserve">送付中</t>
    </r>
  </si>
  <si>
    <r>
      <rPr>
        <sz val="8"/>
        <color rgb="FF000000"/>
        <rFont val="Arial"/>
        <family val="0"/>
        <charset val="1"/>
      </rPr>
      <t xml:space="preserve">70 </t>
    </r>
    <r>
      <rPr>
        <sz val="8"/>
        <color rgb="FF000000"/>
        <rFont val="Noto Sans CJK SC"/>
        <family val="2"/>
      </rPr>
      <t xml:space="preserve">申請データ出力</t>
    </r>
  </si>
  <si>
    <r>
      <rPr>
        <sz val="8"/>
        <color rgb="FF000000"/>
        <rFont val="Arial"/>
        <family val="0"/>
        <charset val="1"/>
      </rPr>
      <t xml:space="preserve">33 </t>
    </r>
    <r>
      <rPr>
        <sz val="8"/>
        <color rgb="FF000000"/>
        <rFont val="Noto Sans CJK SC"/>
        <family val="2"/>
      </rPr>
      <t xml:space="preserve">確認済</t>
    </r>
  </si>
  <si>
    <r>
      <rPr>
        <sz val="8"/>
        <color rgb="FF000000"/>
        <rFont val="Arial"/>
        <family val="0"/>
        <charset val="1"/>
      </rPr>
      <t xml:space="preserve">56 </t>
    </r>
    <r>
      <rPr>
        <sz val="8"/>
        <color rgb="FF000000"/>
        <rFont val="Noto Sans CJK SC"/>
        <family val="2"/>
      </rPr>
      <t xml:space="preserve">添付書類待ち解除</t>
    </r>
  </si>
  <si>
    <r>
      <rPr>
        <sz val="8"/>
        <color rgb="FF000000"/>
        <rFont val="Arial"/>
        <family val="0"/>
        <charset val="1"/>
      </rPr>
      <t xml:space="preserve">24 </t>
    </r>
    <r>
      <rPr>
        <sz val="8"/>
        <color rgb="FF000000"/>
        <rFont val="Noto Sans CJK SC"/>
        <family val="2"/>
      </rPr>
      <t xml:space="preserve">雇用保険受給終了</t>
    </r>
  </si>
  <si>
    <r>
      <rPr>
        <sz val="8"/>
        <color rgb="FF000000"/>
        <rFont val="Arial"/>
        <family val="0"/>
        <charset val="1"/>
      </rPr>
      <t xml:space="preserve">31 </t>
    </r>
    <r>
      <rPr>
        <sz val="8"/>
        <color rgb="FF000000"/>
        <rFont val="Noto Sans CJK SC"/>
        <family val="2"/>
      </rPr>
      <t xml:space="preserve">同居</t>
    </r>
  </si>
  <si>
    <r>
      <rPr>
        <sz val="8"/>
        <color rgb="FF000000"/>
        <rFont val="Arial"/>
        <family val="0"/>
        <charset val="1"/>
      </rPr>
      <t xml:space="preserve">30 </t>
    </r>
    <r>
      <rPr>
        <sz val="8"/>
        <color rgb="FF000000"/>
        <rFont val="Noto Sans CJK SC"/>
        <family val="2"/>
      </rPr>
      <t xml:space="preserve">申請受付</t>
    </r>
  </si>
  <si>
    <r>
      <rPr>
        <sz val="8"/>
        <color rgb="FF000000"/>
        <rFont val="Arial"/>
        <family val="0"/>
        <charset val="1"/>
      </rPr>
      <t xml:space="preserve">20 </t>
    </r>
    <r>
      <rPr>
        <sz val="8"/>
        <color rgb="FF000000"/>
        <rFont val="Noto Sans CJK SC"/>
        <family val="2"/>
      </rPr>
      <t xml:space="preserve">申請受付</t>
    </r>
  </si>
  <si>
    <r>
      <rPr>
        <sz val="8"/>
        <color rgb="FF000000"/>
        <rFont val="Arial"/>
        <family val="0"/>
        <charset val="1"/>
      </rPr>
      <t xml:space="preserve">55 </t>
    </r>
    <r>
      <rPr>
        <sz val="8"/>
        <color rgb="FF000000"/>
        <rFont val="Noto Sans CJK SC"/>
        <family val="2"/>
      </rPr>
      <t xml:space="preserve">扶養親族の結婚</t>
    </r>
  </si>
  <si>
    <r>
      <rPr>
        <sz val="8"/>
        <color rgb="FF000000"/>
        <rFont val="Arial"/>
        <family val="0"/>
        <charset val="1"/>
      </rPr>
      <t xml:space="preserve">48 </t>
    </r>
    <r>
      <rPr>
        <sz val="8"/>
        <color rgb="FF000000"/>
        <rFont val="Noto Sans CJK SC"/>
        <family val="2"/>
      </rPr>
      <t xml:space="preserve">雇用保険受給開始</t>
    </r>
  </si>
  <si>
    <r>
      <rPr>
        <sz val="8"/>
        <color rgb="FF000000"/>
        <rFont val="Arial"/>
        <family val="0"/>
        <charset val="1"/>
      </rPr>
      <t xml:space="preserve">28 </t>
    </r>
    <r>
      <rPr>
        <sz val="8"/>
        <color rgb="FF000000"/>
        <rFont val="Noto Sans CJK SC"/>
        <family val="2"/>
      </rPr>
      <t xml:space="preserve">障害程度の変更</t>
    </r>
  </si>
  <si>
    <r>
      <rPr>
        <sz val="8"/>
        <color rgb="FF000000"/>
        <rFont val="Arial"/>
        <family val="0"/>
        <charset val="1"/>
      </rPr>
      <t xml:space="preserve">41 </t>
    </r>
    <r>
      <rPr>
        <sz val="8"/>
        <color rgb="FF000000"/>
        <rFont val="Noto Sans CJK SC"/>
        <family val="2"/>
      </rPr>
      <t xml:space="preserve">ＳＶ却下</t>
    </r>
  </si>
  <si>
    <r>
      <rPr>
        <sz val="8"/>
        <color rgb="FF000000"/>
        <rFont val="Arial"/>
        <family val="0"/>
        <charset val="1"/>
      </rPr>
      <t xml:space="preserve">97 </t>
    </r>
    <r>
      <rPr>
        <sz val="8"/>
        <color rgb="FF000000"/>
        <rFont val="Noto Sans CJK SC"/>
        <family val="2"/>
      </rPr>
      <t xml:space="preserve">扶養親族の同別居変更</t>
    </r>
  </si>
  <si>
    <r>
      <rPr>
        <sz val="8"/>
        <color rgb="FF000000"/>
        <rFont val="Arial"/>
        <family val="0"/>
        <charset val="1"/>
      </rPr>
      <t xml:space="preserve">30 </t>
    </r>
    <r>
      <rPr>
        <sz val="8"/>
        <color rgb="FF000000"/>
        <rFont val="Noto Sans CJK SC"/>
        <family val="2"/>
      </rPr>
      <t xml:space="preserve">養子縁組</t>
    </r>
  </si>
  <si>
    <t xml:space="preserve">扶養異動申請　進捗ダッシュボード</t>
  </si>
  <si>
    <t xml:space="preserve">▼ 使い方</t>
  </si>
  <si>
    <t xml:space="preserve">手順①</t>
  </si>
  <si>
    <r>
      <rPr>
        <sz val="9"/>
        <color rgb="FF000000"/>
        <rFont val="Noto Sans CJK SC"/>
        <family val="2"/>
      </rPr>
      <t xml:space="preserve">「元データ」シートを開き、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行目以降に最新データを貼り付ける（ヘッダー行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行目は変更しないこと）</t>
    </r>
  </si>
  <si>
    <t xml:space="preserve">手順②</t>
  </si>
  <si>
    <t xml:space="preserve">データを貼り替える場合は「元データ一括クリア」マクロを実行して既存データを削除してから貼り付ける</t>
  </si>
  <si>
    <t xml:space="preserve">手順③</t>
  </si>
  <si>
    <r>
      <rPr>
        <sz val="9"/>
        <color rgb="FF000000"/>
        <rFont val="Noto Sans CJK SC"/>
        <family val="2"/>
      </rPr>
      <t xml:space="preserve">「ダッシュボード」シートに戻ると自動で集計が更新される（</t>
    </r>
    <r>
      <rPr>
        <sz val="9"/>
        <color rgb="FF000000"/>
        <rFont val="Arial"/>
        <family val="0"/>
        <charset val="1"/>
      </rPr>
      <t xml:space="preserve">TODAY()</t>
    </r>
    <r>
      <rPr>
        <sz val="9"/>
        <color rgb="FF000000"/>
        <rFont val="Noto Sans CJK SC"/>
        <family val="2"/>
      </rPr>
      <t xml:space="preserve">基準で経過日数も再計算）</t>
    </r>
  </si>
  <si>
    <t xml:space="preserve">注意</t>
  </si>
  <si>
    <r>
      <rPr>
        <sz val="9"/>
        <color rgb="FFC00000"/>
        <rFont val="Noto Sans CJK SC"/>
        <family val="2"/>
      </rPr>
      <t xml:space="preserve">★印の黄色列（元データシート右端</t>
    </r>
    <r>
      <rPr>
        <sz val="9"/>
        <color rgb="FFC00000"/>
        <rFont val="Arial"/>
        <family val="0"/>
        <charset val="1"/>
      </rPr>
      <t xml:space="preserve">4</t>
    </r>
    <r>
      <rPr>
        <sz val="9"/>
        <color rgb="FFC00000"/>
        <rFont val="Noto Sans CJK SC"/>
        <family val="2"/>
      </rPr>
      <t xml:space="preserve">列）は作業列のため削除・上書き不可</t>
    </r>
  </si>
  <si>
    <r>
      <rPr>
        <b val="true"/>
        <sz val="10"/>
        <color rgb="FFFFFFFF"/>
        <rFont val="Noto Sans CJK SC"/>
        <family val="2"/>
      </rPr>
      <t xml:space="preserve">⬛ 元データ一括クリア　※マクロ「</t>
    </r>
    <r>
      <rPr>
        <b val="true"/>
        <sz val="10"/>
        <color rgb="FFFFFFFF"/>
        <rFont val="Arial"/>
        <family val="0"/>
        <charset val="1"/>
      </rPr>
      <t xml:space="preserve">ClearData</t>
    </r>
    <r>
      <rPr>
        <b val="true"/>
        <sz val="10"/>
        <color rgb="FFFFFFFF"/>
        <rFont val="Noto Sans CJK SC"/>
        <family val="2"/>
      </rPr>
      <t xml:space="preserve">」を実行</t>
    </r>
  </si>
  <si>
    <t xml:space="preserve">▼ 以下の案件を確認してください</t>
  </si>
  <si>
    <t xml:space="preserve">▼ 未完了案件サマリー</t>
  </si>
  <si>
    <t xml:space="preserve">未完了 総件数</t>
  </si>
  <si>
    <t xml:space="preserve">センター対応中</t>
  </si>
  <si>
    <t xml:space="preserve">差戻し中</t>
  </si>
  <si>
    <t xml:space="preserve">▼ ステータス別 件数</t>
  </si>
  <si>
    <t xml:space="preserve">ステータス</t>
  </si>
  <si>
    <t xml:space="preserve">総件数</t>
  </si>
  <si>
    <r>
      <rPr>
        <b val="true"/>
        <sz val="9"/>
        <color rgb="FFFFFFFF"/>
        <rFont val="Noto Sans CJK SC"/>
        <family val="2"/>
      </rPr>
      <t xml:space="preserve">申請日から</t>
    </r>
    <r>
      <rPr>
        <b val="true"/>
        <sz val="9"/>
        <color rgb="FFFFFFFF"/>
        <rFont val="Arial"/>
        <family val="0"/>
        <charset val="1"/>
      </rPr>
      <t xml:space="preserve">7</t>
    </r>
    <r>
      <rPr>
        <b val="true"/>
        <sz val="9"/>
        <color rgb="FFFFFFFF"/>
        <rFont val="Noto Sans CJK SC"/>
        <family val="2"/>
      </rPr>
      <t xml:space="preserve">日以内</t>
    </r>
  </si>
  <si>
    <r>
      <rPr>
        <b val="true"/>
        <sz val="9"/>
        <color rgb="FFFFFFFF"/>
        <rFont val="Noto Sans CJK SC"/>
        <family val="2"/>
      </rPr>
      <t xml:space="preserve">申請日から</t>
    </r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〜</t>
    </r>
    <r>
      <rPr>
        <b val="true"/>
        <sz val="9"/>
        <color rgb="FFFFFFFF"/>
        <rFont val="Arial"/>
        <family val="0"/>
        <charset val="1"/>
      </rPr>
      <t xml:space="preserve">14</t>
    </r>
    <r>
      <rPr>
        <b val="true"/>
        <sz val="9"/>
        <color rgb="FFFFFFFF"/>
        <rFont val="Noto Sans CJK SC"/>
        <family val="2"/>
      </rPr>
      <t xml:space="preserve">日</t>
    </r>
  </si>
  <si>
    <r>
      <rPr>
        <b val="true"/>
        <sz val="9"/>
        <color rgb="FFFFFFFF"/>
        <rFont val="Noto Sans CJK SC"/>
        <family val="2"/>
      </rPr>
      <t xml:space="preserve">申請日から</t>
    </r>
    <r>
      <rPr>
        <b val="true"/>
        <sz val="9"/>
        <color rgb="FFFFFFFF"/>
        <rFont val="Arial"/>
        <family val="0"/>
        <charset val="1"/>
      </rPr>
      <t xml:space="preserve">15</t>
    </r>
    <r>
      <rPr>
        <b val="true"/>
        <sz val="9"/>
        <color rgb="FFFFFFFF"/>
        <rFont val="Noto Sans CJK SC"/>
        <family val="2"/>
      </rPr>
      <t xml:space="preserve">〜</t>
    </r>
    <r>
      <rPr>
        <b val="true"/>
        <sz val="9"/>
        <color rgb="FFFFFFFF"/>
        <rFont val="Arial"/>
        <family val="0"/>
        <charset val="1"/>
      </rPr>
      <t xml:space="preserve">21</t>
    </r>
    <r>
      <rPr>
        <b val="true"/>
        <sz val="9"/>
        <color rgb="FFFFFFFF"/>
        <rFont val="Noto Sans CJK SC"/>
        <family val="2"/>
      </rPr>
      <t xml:space="preserve">日</t>
    </r>
  </si>
  <si>
    <r>
      <rPr>
        <b val="true"/>
        <sz val="9"/>
        <color rgb="FFFFFFFF"/>
        <rFont val="Noto Sans CJK SC"/>
        <family val="2"/>
      </rPr>
      <t xml:space="preserve">申請日から</t>
    </r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か月超</t>
    </r>
  </si>
  <si>
    <r>
      <rPr>
        <b val="true"/>
        <sz val="9"/>
        <color rgb="FFFFFFFF"/>
        <rFont val="Noto Sans CJK SC"/>
        <family val="2"/>
      </rPr>
      <t xml:space="preserve">申請日から</t>
    </r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か月超</t>
    </r>
  </si>
  <si>
    <t xml:space="preserve">確認待ち</t>
  </si>
  <si>
    <t xml:space="preserve">申請受付</t>
  </si>
  <si>
    <r>
      <rPr>
        <sz val="9"/>
        <color rgb="FF000000"/>
        <rFont val="Arial"/>
        <family val="0"/>
        <charset val="1"/>
      </rPr>
      <t xml:space="preserve">OP</t>
    </r>
    <r>
      <rPr>
        <sz val="9"/>
        <color rgb="FF000000"/>
        <rFont val="Noto Sans CJK SC"/>
        <family val="2"/>
      </rPr>
      <t xml:space="preserve">確認中</t>
    </r>
  </si>
  <si>
    <r>
      <rPr>
        <sz val="9"/>
        <color rgb="FF000000"/>
        <rFont val="Arial"/>
        <family val="0"/>
        <charset val="1"/>
      </rPr>
      <t xml:space="preserve">SV</t>
    </r>
    <r>
      <rPr>
        <sz val="9"/>
        <color rgb="FF000000"/>
        <rFont val="Noto Sans CJK SC"/>
        <family val="2"/>
      </rPr>
      <t xml:space="preserve">確認中</t>
    </r>
  </si>
  <si>
    <t xml:space="preserve">差戻し</t>
  </si>
  <si>
    <t xml:space="preserve">合計</t>
  </si>
  <si>
    <t xml:space="preserve">▼ 事由別 件数（共済あり／なし）</t>
  </si>
  <si>
    <t xml:space="preserve">優先順位</t>
  </si>
  <si>
    <t xml:space="preserve">事由</t>
  </si>
  <si>
    <t xml:space="preserve">共済</t>
  </si>
  <si>
    <t xml:space="preserve">件数（ステータス内訳）</t>
  </si>
  <si>
    <t xml:space="preserve">申請番号（フラグ）</t>
  </si>
  <si>
    <r>
      <rPr>
        <sz val="9"/>
        <color rgb="FF000000"/>
        <rFont val="Arial"/>
        <family val="0"/>
        <charset val="1"/>
      </rPr>
      <t xml:space="preserve">21 </t>
    </r>
    <r>
      <rPr>
        <sz val="9"/>
        <color rgb="FF000000"/>
        <rFont val="Noto Sans CJK SC"/>
        <family val="2"/>
      </rPr>
      <t xml:space="preserve">出生</t>
    </r>
  </si>
  <si>
    <t xml:space="preserve">あり</t>
  </si>
  <si>
    <r>
      <rPr>
        <sz val="8"/>
        <color rgb="FF000000"/>
        <rFont val="Arial"/>
        <family val="0"/>
        <charset val="1"/>
      </rPr>
      <t xml:space="preserve">3</t>
    </r>
    <r>
      <rPr>
        <sz val="8"/>
        <color rgb="FF000000"/>
        <rFont val="Noto Sans CJK SC"/>
        <family val="2"/>
      </rPr>
      <t xml:space="preserve">件
確認待</t>
    </r>
    <r>
      <rPr>
        <sz val="8"/>
        <color rgb="FF000000"/>
        <rFont val="Arial"/>
        <family val="0"/>
        <charset val="1"/>
      </rPr>
      <t xml:space="preserve">:3</t>
    </r>
  </si>
  <si>
    <r>
      <rPr>
        <sz val="8"/>
        <color rgb="FF000000"/>
        <rFont val="Arial"/>
        <family val="0"/>
        <charset val="1"/>
      </rPr>
      <t xml:space="preserve">202660001446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202660001485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202660001489</t>
    </r>
    <r>
      <rPr>
        <sz val="8"/>
        <color rgb="FF000000"/>
        <rFont val="Noto Sans CJK SC"/>
        <family val="2"/>
      </rPr>
      <t xml:space="preserve">（添待ち）</t>
    </r>
  </si>
  <si>
    <r>
      <rPr>
        <sz val="8"/>
        <color rgb="FF000000"/>
        <rFont val="Arial"/>
        <family val="0"/>
        <charset val="1"/>
      </rPr>
      <t xml:space="preserve">12</t>
    </r>
    <r>
      <rPr>
        <sz val="8"/>
        <color rgb="FF000000"/>
        <rFont val="Noto Sans CJK SC"/>
        <family val="2"/>
      </rPr>
      <t xml:space="preserve">件
確認待</t>
    </r>
    <r>
      <rPr>
        <sz val="8"/>
        <color rgb="FF000000"/>
        <rFont val="Arial"/>
        <family val="0"/>
        <charset val="1"/>
      </rPr>
      <t xml:space="preserve">:2 / OP:7 / SV:3</t>
    </r>
  </si>
  <si>
    <r>
      <rPr>
        <sz val="8"/>
        <color rgb="FF000000"/>
        <rFont val="Arial"/>
        <family val="0"/>
        <charset val="1"/>
      </rPr>
      <t xml:space="preserve">202660001313
202660001327
202660001345
202660001351
202660001363
202660001365
202660001369
202660001375
202660001396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202660001434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202660001451
202660001461</t>
    </r>
  </si>
  <si>
    <r>
      <rPr>
        <b val="true"/>
        <sz val="8"/>
        <color rgb="FF000000"/>
        <rFont val="Arial"/>
        <family val="0"/>
        <charset val="1"/>
      </rPr>
      <t xml:space="preserve">4</t>
    </r>
    <r>
      <rPr>
        <b val="true"/>
        <sz val="8"/>
        <color rgb="FF000000"/>
        <rFont val="Noto Sans CJK SC"/>
        <family val="2"/>
      </rPr>
      <t xml:space="preserve">件
確認待</t>
    </r>
    <r>
      <rPr>
        <b val="true"/>
        <sz val="8"/>
        <color rgb="FF000000"/>
        <rFont val="Arial"/>
        <family val="0"/>
        <charset val="1"/>
      </rPr>
      <t xml:space="preserve">:2 / OP:1 / SV:1</t>
    </r>
  </si>
  <si>
    <r>
      <rPr>
        <sz val="8"/>
        <color rgb="FF000000"/>
        <rFont val="Arial"/>
        <family val="0"/>
        <charset val="1"/>
      </rPr>
      <t xml:space="preserve">202660001331
202660001334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202660001337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202660001349</t>
    </r>
  </si>
  <si>
    <r>
      <rPr>
        <b val="true"/>
        <sz val="8"/>
        <color rgb="FF000000"/>
        <rFont val="Arial"/>
        <family val="0"/>
        <charset val="1"/>
      </rPr>
      <t xml:space="preserve">4</t>
    </r>
    <r>
      <rPr>
        <b val="true"/>
        <sz val="8"/>
        <color rgb="FF000000"/>
        <rFont val="Noto Sans CJK SC"/>
        <family val="2"/>
      </rPr>
      <t xml:space="preserve">件
確認待</t>
    </r>
    <r>
      <rPr>
        <b val="true"/>
        <sz val="8"/>
        <color rgb="FF000000"/>
        <rFont val="Arial"/>
        <family val="0"/>
        <charset val="1"/>
      </rPr>
      <t xml:space="preserve">:1 / SV:1 / </t>
    </r>
    <r>
      <rPr>
        <b val="true"/>
        <sz val="8"/>
        <color rgb="FF000000"/>
        <rFont val="Noto Sans CJK SC"/>
        <family val="2"/>
      </rPr>
      <t xml:space="preserve">差戻</t>
    </r>
    <r>
      <rPr>
        <b val="true"/>
        <sz val="8"/>
        <color rgb="FF000000"/>
        <rFont val="Arial"/>
        <family val="0"/>
        <charset val="1"/>
      </rPr>
      <t xml:space="preserve">:2</t>
    </r>
  </si>
  <si>
    <r>
      <rPr>
        <sz val="8"/>
        <color rgb="FF000000"/>
        <rFont val="Arial"/>
        <family val="0"/>
        <charset val="1"/>
      </rPr>
      <t xml:space="preserve">202660001253
202660001270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202660001271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202660001310</t>
    </r>
    <r>
      <rPr>
        <sz val="8"/>
        <color rgb="FF000000"/>
        <rFont val="Noto Sans CJK SC"/>
        <family val="2"/>
      </rPr>
      <t xml:space="preserve">（削除）</t>
    </r>
  </si>
  <si>
    <r>
      <rPr>
        <b val="true"/>
        <sz val="8"/>
        <color rgb="FFC00000"/>
        <rFont val="Arial"/>
        <family val="0"/>
        <charset val="1"/>
      </rPr>
      <t xml:space="preserve">7</t>
    </r>
    <r>
      <rPr>
        <b val="true"/>
        <sz val="8"/>
        <color rgb="FFC00000"/>
        <rFont val="Noto Sans CJK SC"/>
        <family val="2"/>
      </rPr>
      <t xml:space="preserve">件
確認待</t>
    </r>
    <r>
      <rPr>
        <b val="true"/>
        <sz val="8"/>
        <color rgb="FFC00000"/>
        <rFont val="Arial"/>
        <family val="0"/>
        <charset val="1"/>
      </rPr>
      <t xml:space="preserve">:1 / OP:1 / SV:2 / </t>
    </r>
    <r>
      <rPr>
        <b val="true"/>
        <sz val="8"/>
        <color rgb="FFC00000"/>
        <rFont val="Noto Sans CJK SC"/>
        <family val="2"/>
      </rPr>
      <t xml:space="preserve">差戻</t>
    </r>
    <r>
      <rPr>
        <b val="true"/>
        <sz val="8"/>
        <color rgb="FFC00000"/>
        <rFont val="Arial"/>
        <family val="0"/>
        <charset val="1"/>
      </rPr>
      <t xml:space="preserve">:3</t>
    </r>
  </si>
  <si>
    <r>
      <rPr>
        <sz val="8"/>
        <color rgb="FFC00000"/>
        <rFont val="Arial"/>
        <family val="0"/>
        <charset val="1"/>
      </rPr>
      <t xml:space="preserve">200960002933
201860001388</t>
    </r>
    <r>
      <rPr>
        <sz val="8"/>
        <color rgb="FFC00000"/>
        <rFont val="Noto Sans CJK SC"/>
        <family val="2"/>
      </rPr>
      <t xml:space="preserve">（添待ち、</t>
    </r>
    <r>
      <rPr>
        <sz val="8"/>
        <color rgb="FFC00000"/>
        <rFont val="Arial"/>
        <family val="0"/>
        <charset val="1"/>
      </rPr>
      <t xml:space="preserve">SV</t>
    </r>
    <r>
      <rPr>
        <sz val="8"/>
        <color rgb="FFC00000"/>
        <rFont val="Noto Sans CJK SC"/>
        <family val="2"/>
      </rPr>
      <t xml:space="preserve">）
</t>
    </r>
    <r>
      <rPr>
        <sz val="8"/>
        <color rgb="FFC00000"/>
        <rFont val="Arial"/>
        <family val="0"/>
        <charset val="1"/>
      </rPr>
      <t xml:space="preserve">202660001033
202660001060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202660001153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202660001203
202660001211</t>
    </r>
    <r>
      <rPr>
        <sz val="8"/>
        <color rgb="FFC00000"/>
        <rFont val="Noto Sans CJK SC"/>
        <family val="2"/>
      </rPr>
      <t xml:space="preserve">（添待ち）</t>
    </r>
  </si>
  <si>
    <t xml:space="preserve">なし</t>
  </si>
  <si>
    <t xml:space="preserve">-</t>
  </si>
  <si>
    <r>
      <rPr>
        <sz val="8"/>
        <color rgb="FF000000"/>
        <rFont val="Arial"/>
        <family val="0"/>
        <charset val="1"/>
      </rPr>
      <t xml:space="preserve">1</t>
    </r>
    <r>
      <rPr>
        <sz val="8"/>
        <color rgb="FF000000"/>
        <rFont val="Noto Sans CJK SC"/>
        <family val="2"/>
      </rPr>
      <t xml:space="preserve">件
確認待</t>
    </r>
    <r>
      <rPr>
        <sz val="8"/>
        <color rgb="FF000000"/>
        <rFont val="Arial"/>
        <family val="0"/>
        <charset val="1"/>
      </rPr>
      <t xml:space="preserve">:1</t>
    </r>
  </si>
  <si>
    <r>
      <rPr>
        <sz val="8"/>
        <color rgb="FF000000"/>
        <rFont val="Arial"/>
        <family val="0"/>
        <charset val="1"/>
      </rPr>
      <t xml:space="preserve">202660001414</t>
    </r>
    <r>
      <rPr>
        <sz val="8"/>
        <color rgb="FF000000"/>
        <rFont val="Noto Sans CJK SC"/>
        <family val="2"/>
      </rPr>
      <t xml:space="preserve">（添待ち）</t>
    </r>
  </si>
  <si>
    <r>
      <rPr>
        <b val="true"/>
        <sz val="8"/>
        <color rgb="FF000000"/>
        <rFont val="Arial"/>
        <family val="0"/>
        <charset val="1"/>
      </rPr>
      <t xml:space="preserve">1</t>
    </r>
    <r>
      <rPr>
        <b val="true"/>
        <sz val="8"/>
        <color rgb="FF000000"/>
        <rFont val="Noto Sans CJK SC"/>
        <family val="2"/>
      </rPr>
      <t xml:space="preserve">件
</t>
    </r>
    <r>
      <rPr>
        <b val="true"/>
        <sz val="8"/>
        <color rgb="FF000000"/>
        <rFont val="Arial"/>
        <family val="0"/>
        <charset val="1"/>
      </rPr>
      <t xml:space="preserve">OP:1</t>
    </r>
  </si>
  <si>
    <t xml:space="preserve">202660001307</t>
  </si>
  <si>
    <r>
      <rPr>
        <b val="true"/>
        <sz val="8"/>
        <color rgb="FFC00000"/>
        <rFont val="Arial"/>
        <family val="0"/>
        <charset val="1"/>
      </rPr>
      <t xml:space="preserve">2</t>
    </r>
    <r>
      <rPr>
        <b val="true"/>
        <sz val="8"/>
        <color rgb="FFC00000"/>
        <rFont val="Noto Sans CJK SC"/>
        <family val="2"/>
      </rPr>
      <t xml:space="preserve">件
</t>
    </r>
    <r>
      <rPr>
        <b val="true"/>
        <sz val="8"/>
        <color rgb="FFC00000"/>
        <rFont val="Arial"/>
        <family val="0"/>
        <charset val="1"/>
      </rPr>
      <t xml:space="preserve">OP:1 / SV:1</t>
    </r>
  </si>
  <si>
    <t xml:space="preserve">202660001115
202660001212</t>
  </si>
  <si>
    <r>
      <rPr>
        <sz val="9"/>
        <color rgb="FF000000"/>
        <rFont val="Arial"/>
        <family val="0"/>
        <charset val="1"/>
      </rPr>
      <t xml:space="preserve">23 </t>
    </r>
    <r>
      <rPr>
        <sz val="9"/>
        <color rgb="FF000000"/>
        <rFont val="Noto Sans CJK SC"/>
        <family val="2"/>
      </rPr>
      <t xml:space="preserve">結婚</t>
    </r>
  </si>
  <si>
    <r>
      <rPr>
        <b val="true"/>
        <sz val="8"/>
        <color rgb="FFC00000"/>
        <rFont val="Arial"/>
        <family val="0"/>
        <charset val="1"/>
      </rPr>
      <t xml:space="preserve">2</t>
    </r>
    <r>
      <rPr>
        <b val="true"/>
        <sz val="8"/>
        <color rgb="FFC00000"/>
        <rFont val="Noto Sans CJK SC"/>
        <family val="2"/>
      </rPr>
      <t xml:space="preserve">件
差戻</t>
    </r>
    <r>
      <rPr>
        <b val="true"/>
        <sz val="8"/>
        <color rgb="FFC00000"/>
        <rFont val="Arial"/>
        <family val="0"/>
        <charset val="1"/>
      </rPr>
      <t xml:space="preserve">:2</t>
    </r>
  </si>
  <si>
    <r>
      <rPr>
        <sz val="8"/>
        <color rgb="FFC00000"/>
        <rFont val="Arial"/>
        <family val="0"/>
        <charset val="1"/>
      </rPr>
      <t xml:space="preserve">201360002263</t>
    </r>
    <r>
      <rPr>
        <sz val="8"/>
        <color rgb="FFC00000"/>
        <rFont val="Noto Sans CJK SC"/>
        <family val="2"/>
      </rPr>
      <t xml:space="preserve">（削除）
</t>
    </r>
    <r>
      <rPr>
        <sz val="8"/>
        <color rgb="FFC00000"/>
        <rFont val="Arial"/>
        <family val="0"/>
        <charset val="1"/>
      </rPr>
      <t xml:space="preserve">202560002505</t>
    </r>
    <r>
      <rPr>
        <sz val="8"/>
        <color rgb="FFC00000"/>
        <rFont val="Noto Sans CJK SC"/>
        <family val="2"/>
      </rPr>
      <t xml:space="preserve">（添待ち）</t>
    </r>
  </si>
  <si>
    <r>
      <rPr>
        <sz val="8"/>
        <color rgb="FF000000"/>
        <rFont val="Arial"/>
        <family val="0"/>
        <charset val="1"/>
      </rPr>
      <t xml:space="preserve">15</t>
    </r>
    <r>
      <rPr>
        <sz val="8"/>
        <color rgb="FF000000"/>
        <rFont val="Noto Sans CJK SC"/>
        <family val="2"/>
      </rPr>
      <t xml:space="preserve">件
確認待</t>
    </r>
    <r>
      <rPr>
        <sz val="8"/>
        <color rgb="FF000000"/>
        <rFont val="Arial"/>
        <family val="0"/>
        <charset val="1"/>
      </rPr>
      <t xml:space="preserve">:5 / </t>
    </r>
    <r>
      <rPr>
        <sz val="8"/>
        <color rgb="FF000000"/>
        <rFont val="Noto Sans CJK SC"/>
        <family val="2"/>
      </rPr>
      <t xml:space="preserve">受付</t>
    </r>
    <r>
      <rPr>
        <sz val="8"/>
        <color rgb="FF000000"/>
        <rFont val="Arial"/>
        <family val="0"/>
        <charset val="1"/>
      </rPr>
      <t xml:space="preserve">:10</t>
    </r>
  </si>
  <si>
    <t xml:space="preserve">202660001462
202660001463
202660001466
202660001468
202660001474
202660001477
202660001496
202660001505
202660001514
202660001516
202660001525
202660001530
202660001540
202660001543
202660001544</t>
  </si>
  <si>
    <r>
      <rPr>
        <sz val="8"/>
        <color rgb="FF000000"/>
        <rFont val="Arial"/>
        <family val="0"/>
        <charset val="1"/>
      </rPr>
      <t xml:space="preserve">19</t>
    </r>
    <r>
      <rPr>
        <sz val="8"/>
        <color rgb="FF000000"/>
        <rFont val="Noto Sans CJK SC"/>
        <family val="2"/>
      </rPr>
      <t xml:space="preserve">件
受付</t>
    </r>
    <r>
      <rPr>
        <sz val="8"/>
        <color rgb="FF000000"/>
        <rFont val="Arial"/>
        <family val="0"/>
        <charset val="1"/>
      </rPr>
      <t xml:space="preserve">:6 / OP:11 / SV:2</t>
    </r>
  </si>
  <si>
    <t xml:space="preserve">202660001356
202660001359
202660001361
202660001366
202660001368
202660001371
202660001373
202660001376
202660001379
202660001380
202660001385
202660001398
202660001401
202660001424
202660001428
202660001439
202660001450
202660001453
202660001457</t>
  </si>
  <si>
    <r>
      <rPr>
        <b val="true"/>
        <sz val="8"/>
        <color rgb="FF000000"/>
        <rFont val="Arial"/>
        <family val="0"/>
        <charset val="1"/>
      </rPr>
      <t xml:space="preserve">3</t>
    </r>
    <r>
      <rPr>
        <b val="true"/>
        <sz val="8"/>
        <color rgb="FF000000"/>
        <rFont val="Noto Sans CJK SC"/>
        <family val="2"/>
      </rPr>
      <t xml:space="preserve">件
</t>
    </r>
    <r>
      <rPr>
        <b val="true"/>
        <sz val="8"/>
        <color rgb="FF000000"/>
        <rFont val="Arial"/>
        <family val="0"/>
        <charset val="1"/>
      </rPr>
      <t xml:space="preserve">SV:3</t>
    </r>
  </si>
  <si>
    <t xml:space="preserve">202660001321
202660001328
202660001338</t>
  </si>
  <si>
    <r>
      <rPr>
        <b val="true"/>
        <sz val="8"/>
        <color rgb="FFC00000"/>
        <rFont val="Arial"/>
        <family val="0"/>
        <charset val="1"/>
      </rPr>
      <t xml:space="preserve">9</t>
    </r>
    <r>
      <rPr>
        <b val="true"/>
        <sz val="8"/>
        <color rgb="FFC00000"/>
        <rFont val="Noto Sans CJK SC"/>
        <family val="2"/>
      </rPr>
      <t xml:space="preserve">件
確認待</t>
    </r>
    <r>
      <rPr>
        <b val="true"/>
        <sz val="8"/>
        <color rgb="FFC00000"/>
        <rFont val="Arial"/>
        <family val="0"/>
        <charset val="1"/>
      </rPr>
      <t xml:space="preserve">:1 / OP:5 / SV:1 / </t>
    </r>
    <r>
      <rPr>
        <b val="true"/>
        <sz val="8"/>
        <color rgb="FFC00000"/>
        <rFont val="Noto Sans CJK SC"/>
        <family val="2"/>
      </rPr>
      <t xml:space="preserve">差戻</t>
    </r>
    <r>
      <rPr>
        <b val="true"/>
        <sz val="8"/>
        <color rgb="FFC00000"/>
        <rFont val="Arial"/>
        <family val="0"/>
        <charset val="1"/>
      </rPr>
      <t xml:space="preserve">:2</t>
    </r>
  </si>
  <si>
    <r>
      <rPr>
        <sz val="8"/>
        <color rgb="FFC00000"/>
        <rFont val="Arial"/>
        <family val="0"/>
        <charset val="1"/>
      </rPr>
      <t xml:space="preserve">200960002795
200960003028</t>
    </r>
    <r>
      <rPr>
        <sz val="8"/>
        <color rgb="FFC00000"/>
        <rFont val="Noto Sans CJK SC"/>
        <family val="2"/>
      </rPr>
      <t xml:space="preserve">（確認事項）
</t>
    </r>
    <r>
      <rPr>
        <sz val="8"/>
        <color rgb="FFC00000"/>
        <rFont val="Arial"/>
        <family val="0"/>
        <charset val="1"/>
      </rPr>
      <t xml:space="preserve">202360003320
202460003283
202560002534</t>
    </r>
    <r>
      <rPr>
        <sz val="8"/>
        <color rgb="FFC00000"/>
        <rFont val="Noto Sans CJK SC"/>
        <family val="2"/>
      </rPr>
      <t xml:space="preserve">（削除）
</t>
    </r>
    <r>
      <rPr>
        <sz val="8"/>
        <color rgb="FFC00000"/>
        <rFont val="Arial"/>
        <family val="0"/>
        <charset val="1"/>
      </rPr>
      <t xml:space="preserve">202660000721</t>
    </r>
    <r>
      <rPr>
        <sz val="8"/>
        <color rgb="FFC00000"/>
        <rFont val="Noto Sans CJK SC"/>
        <family val="2"/>
      </rPr>
      <t xml:space="preserve">（確認事項）
</t>
    </r>
    <r>
      <rPr>
        <sz val="8"/>
        <color rgb="FFC00000"/>
        <rFont val="Arial"/>
        <family val="0"/>
        <charset val="1"/>
      </rPr>
      <t xml:space="preserve">202660000808
202660001204
202660001209</t>
    </r>
  </si>
  <si>
    <r>
      <rPr>
        <sz val="9"/>
        <color rgb="FF000000"/>
        <rFont val="Arial"/>
        <family val="0"/>
        <charset val="1"/>
      </rPr>
      <t xml:space="preserve">30 </t>
    </r>
    <r>
      <rPr>
        <sz val="9"/>
        <color rgb="FF000000"/>
        <rFont val="Noto Sans CJK SC"/>
        <family val="2"/>
      </rPr>
      <t xml:space="preserve">養子縁組</t>
    </r>
  </si>
  <si>
    <r>
      <rPr>
        <sz val="8"/>
        <color rgb="FF000000"/>
        <rFont val="Arial"/>
        <family val="0"/>
        <charset val="1"/>
      </rPr>
      <t xml:space="preserve">202660001492</t>
    </r>
    <r>
      <rPr>
        <sz val="8"/>
        <color rgb="FF000000"/>
        <rFont val="Noto Sans CJK SC"/>
        <family val="2"/>
      </rPr>
      <t xml:space="preserve">（添待ち）</t>
    </r>
  </si>
  <si>
    <r>
      <rPr>
        <sz val="9"/>
        <color rgb="FF000000"/>
        <rFont val="Arial"/>
        <family val="0"/>
        <charset val="1"/>
      </rPr>
      <t xml:space="preserve">55 </t>
    </r>
    <r>
      <rPr>
        <sz val="9"/>
        <color rgb="FF000000"/>
        <rFont val="Noto Sans CJK SC"/>
        <family val="2"/>
      </rPr>
      <t xml:space="preserve">扶養親族の結婚</t>
    </r>
  </si>
  <si>
    <r>
      <rPr>
        <b val="true"/>
        <sz val="8"/>
        <color rgb="FFC00000"/>
        <rFont val="Arial"/>
        <family val="0"/>
        <charset val="1"/>
      </rPr>
      <t xml:space="preserve">1</t>
    </r>
    <r>
      <rPr>
        <b val="true"/>
        <sz val="8"/>
        <color rgb="FFC00000"/>
        <rFont val="Noto Sans CJK SC"/>
        <family val="2"/>
      </rPr>
      <t xml:space="preserve">件
受付</t>
    </r>
    <r>
      <rPr>
        <b val="true"/>
        <sz val="8"/>
        <color rgb="FFC00000"/>
        <rFont val="Arial"/>
        <family val="0"/>
        <charset val="1"/>
      </rPr>
      <t xml:space="preserve">:1</t>
    </r>
  </si>
  <si>
    <t xml:space="preserve">202660001121</t>
  </si>
  <si>
    <r>
      <rPr>
        <sz val="9"/>
        <color rgb="FF000000"/>
        <rFont val="Arial"/>
        <family val="0"/>
        <charset val="1"/>
      </rPr>
      <t xml:space="preserve">22 </t>
    </r>
    <r>
      <rPr>
        <sz val="9"/>
        <color rgb="FF000000"/>
        <rFont val="Noto Sans CJK SC"/>
        <family val="2"/>
      </rPr>
      <t xml:space="preserve">扶養親族の退職</t>
    </r>
  </si>
  <si>
    <r>
      <rPr>
        <sz val="8"/>
        <color rgb="FF000000"/>
        <rFont val="Arial"/>
        <family val="0"/>
        <charset val="1"/>
      </rPr>
      <t xml:space="preserve">2</t>
    </r>
    <r>
      <rPr>
        <sz val="8"/>
        <color rgb="FF000000"/>
        <rFont val="Noto Sans CJK SC"/>
        <family val="2"/>
      </rPr>
      <t xml:space="preserve">件
確認待</t>
    </r>
    <r>
      <rPr>
        <sz val="8"/>
        <color rgb="FF000000"/>
        <rFont val="Arial"/>
        <family val="0"/>
        <charset val="1"/>
      </rPr>
      <t xml:space="preserve">:2</t>
    </r>
  </si>
  <si>
    <r>
      <rPr>
        <sz val="8"/>
        <color rgb="FF000000"/>
        <rFont val="Arial"/>
        <family val="0"/>
        <charset val="1"/>
      </rPr>
      <t xml:space="preserve">202660001362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202660001459</t>
    </r>
    <r>
      <rPr>
        <sz val="8"/>
        <color rgb="FF000000"/>
        <rFont val="Noto Sans CJK SC"/>
        <family val="2"/>
      </rPr>
      <t xml:space="preserve">（添待ち）</t>
    </r>
  </si>
  <si>
    <r>
      <rPr>
        <sz val="8"/>
        <color rgb="FF000000"/>
        <rFont val="Arial"/>
        <family val="0"/>
        <charset val="1"/>
      </rPr>
      <t xml:space="preserve">202660001354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202660001377</t>
    </r>
    <r>
      <rPr>
        <sz val="8"/>
        <color rgb="FF000000"/>
        <rFont val="Noto Sans CJK SC"/>
        <family val="2"/>
      </rPr>
      <t xml:space="preserve">（添待ち）</t>
    </r>
  </si>
  <si>
    <r>
      <rPr>
        <b val="true"/>
        <sz val="8"/>
        <color rgb="FF000000"/>
        <rFont val="Arial"/>
        <family val="0"/>
        <charset val="1"/>
      </rPr>
      <t xml:space="preserve">1</t>
    </r>
    <r>
      <rPr>
        <b val="true"/>
        <sz val="8"/>
        <color rgb="FF000000"/>
        <rFont val="Noto Sans CJK SC"/>
        <family val="2"/>
      </rPr>
      <t xml:space="preserve">件
差戻</t>
    </r>
    <r>
      <rPr>
        <b val="true"/>
        <sz val="8"/>
        <color rgb="FF000000"/>
        <rFont val="Arial"/>
        <family val="0"/>
        <charset val="1"/>
      </rPr>
      <t xml:space="preserve">:1</t>
    </r>
  </si>
  <si>
    <t xml:space="preserve">202660001233</t>
  </si>
  <si>
    <r>
      <rPr>
        <b val="true"/>
        <sz val="8"/>
        <color rgb="FFC00000"/>
        <rFont val="Arial"/>
        <family val="0"/>
        <charset val="1"/>
      </rPr>
      <t xml:space="preserve">16</t>
    </r>
    <r>
      <rPr>
        <b val="true"/>
        <sz val="8"/>
        <color rgb="FFC00000"/>
        <rFont val="Noto Sans CJK SC"/>
        <family val="2"/>
      </rPr>
      <t xml:space="preserve">件
確認待</t>
    </r>
    <r>
      <rPr>
        <b val="true"/>
        <sz val="8"/>
        <color rgb="FFC00000"/>
        <rFont val="Arial"/>
        <family val="0"/>
        <charset val="1"/>
      </rPr>
      <t xml:space="preserve">:3 / OP:7 / SV:2 / </t>
    </r>
    <r>
      <rPr>
        <b val="true"/>
        <sz val="8"/>
        <color rgb="FFC00000"/>
        <rFont val="Noto Sans CJK SC"/>
        <family val="2"/>
      </rPr>
      <t xml:space="preserve">差戻</t>
    </r>
    <r>
      <rPr>
        <b val="true"/>
        <sz val="8"/>
        <color rgb="FFC00000"/>
        <rFont val="Arial"/>
        <family val="0"/>
        <charset val="1"/>
      </rPr>
      <t xml:space="preserve">:4</t>
    </r>
  </si>
  <si>
    <r>
      <rPr>
        <sz val="8"/>
        <color rgb="FFC00000"/>
        <rFont val="Arial"/>
        <family val="0"/>
        <charset val="1"/>
      </rPr>
      <t xml:space="preserve">200860002058
201260002213
201260002232
202060000569
202460000110</t>
    </r>
    <r>
      <rPr>
        <sz val="8"/>
        <color rgb="FFC00000"/>
        <rFont val="Noto Sans CJK SC"/>
        <family val="2"/>
      </rPr>
      <t xml:space="preserve">（削除）
</t>
    </r>
    <r>
      <rPr>
        <sz val="8"/>
        <color rgb="FFC00000"/>
        <rFont val="Arial"/>
        <family val="0"/>
        <charset val="1"/>
      </rPr>
      <t xml:space="preserve">202460002924</t>
    </r>
    <r>
      <rPr>
        <sz val="8"/>
        <color rgb="FFC00000"/>
        <rFont val="Noto Sans CJK SC"/>
        <family val="2"/>
      </rPr>
      <t xml:space="preserve">（削除）
</t>
    </r>
    <r>
      <rPr>
        <sz val="8"/>
        <color rgb="FFC00000"/>
        <rFont val="Arial"/>
        <family val="0"/>
        <charset val="1"/>
      </rPr>
      <t xml:space="preserve">202560000569</t>
    </r>
    <r>
      <rPr>
        <sz val="8"/>
        <color rgb="FFC00000"/>
        <rFont val="Noto Sans CJK SC"/>
        <family val="2"/>
      </rPr>
      <t xml:space="preserve">（削除）
</t>
    </r>
    <r>
      <rPr>
        <sz val="8"/>
        <color rgb="FFC00000"/>
        <rFont val="Arial"/>
        <family val="0"/>
        <charset val="1"/>
      </rPr>
      <t xml:space="preserve">202560001758
202660000850</t>
    </r>
    <r>
      <rPr>
        <sz val="8"/>
        <color rgb="FFC00000"/>
        <rFont val="Noto Sans CJK SC"/>
        <family val="2"/>
      </rPr>
      <t xml:space="preserve">（確認事項）
</t>
    </r>
    <r>
      <rPr>
        <sz val="8"/>
        <color rgb="FFC00000"/>
        <rFont val="Arial"/>
        <family val="0"/>
        <charset val="1"/>
      </rPr>
      <t xml:space="preserve">202660001026</t>
    </r>
    <r>
      <rPr>
        <sz val="8"/>
        <color rgb="FFC00000"/>
        <rFont val="Noto Sans CJK SC"/>
        <family val="2"/>
      </rPr>
      <t xml:space="preserve">（添待ち、</t>
    </r>
    <r>
      <rPr>
        <sz val="8"/>
        <color rgb="FFC00000"/>
        <rFont val="Arial"/>
        <family val="0"/>
        <charset val="1"/>
      </rPr>
      <t xml:space="preserve">SV</t>
    </r>
    <r>
      <rPr>
        <sz val="8"/>
        <color rgb="FFC00000"/>
        <rFont val="Noto Sans CJK SC"/>
        <family val="2"/>
      </rPr>
      <t xml:space="preserve">）
</t>
    </r>
    <r>
      <rPr>
        <sz val="8"/>
        <color rgb="FFC00000"/>
        <rFont val="Arial"/>
        <family val="0"/>
        <charset val="1"/>
      </rPr>
      <t xml:space="preserve">202660001080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202660001090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202660001131</t>
    </r>
    <r>
      <rPr>
        <sz val="8"/>
        <color rgb="FFC00000"/>
        <rFont val="Noto Sans CJK SC"/>
        <family val="2"/>
      </rPr>
      <t xml:space="preserve">（確認事項）
</t>
    </r>
    <r>
      <rPr>
        <sz val="8"/>
        <color rgb="FFC00000"/>
        <rFont val="Arial"/>
        <family val="0"/>
        <charset val="1"/>
      </rPr>
      <t xml:space="preserve">202660001183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202660001217</t>
    </r>
    <r>
      <rPr>
        <sz val="8"/>
        <color rgb="FFC00000"/>
        <rFont val="Noto Sans CJK SC"/>
        <family val="2"/>
      </rPr>
      <t xml:space="preserve">（確認事項）
</t>
    </r>
    <r>
      <rPr>
        <sz val="8"/>
        <color rgb="FFC00000"/>
        <rFont val="Arial"/>
        <family val="0"/>
        <charset val="1"/>
      </rPr>
      <t xml:space="preserve">202660001231</t>
    </r>
  </si>
  <si>
    <r>
      <rPr>
        <sz val="8"/>
        <color rgb="FF000000"/>
        <rFont val="Arial"/>
        <family val="0"/>
        <charset val="1"/>
      </rPr>
      <t xml:space="preserve">202660001469</t>
    </r>
    <r>
      <rPr>
        <sz val="8"/>
        <color rgb="FF000000"/>
        <rFont val="Noto Sans CJK SC"/>
        <family val="2"/>
      </rPr>
      <t xml:space="preserve">（添待ち）</t>
    </r>
  </si>
  <si>
    <r>
      <rPr>
        <sz val="9"/>
        <color rgb="FF000000"/>
        <rFont val="Arial"/>
        <family val="0"/>
        <charset val="1"/>
      </rPr>
      <t xml:space="preserve">24 </t>
    </r>
    <r>
      <rPr>
        <sz val="9"/>
        <color rgb="FF000000"/>
        <rFont val="Noto Sans CJK SC"/>
        <family val="2"/>
      </rPr>
      <t xml:space="preserve">雇用保険受給終了</t>
    </r>
  </si>
  <si>
    <r>
      <rPr>
        <sz val="8"/>
        <color rgb="FF000000"/>
        <rFont val="Arial"/>
        <family val="0"/>
        <charset val="1"/>
      </rPr>
      <t xml:space="preserve">202660001358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202660001488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202660001532</t>
    </r>
  </si>
  <si>
    <r>
      <rPr>
        <sz val="8"/>
        <color rgb="FF000000"/>
        <rFont val="Arial"/>
        <family val="0"/>
        <charset val="1"/>
      </rPr>
      <t xml:space="preserve">1</t>
    </r>
    <r>
      <rPr>
        <sz val="8"/>
        <color rgb="FF000000"/>
        <rFont val="Noto Sans CJK SC"/>
        <family val="2"/>
      </rPr>
      <t xml:space="preserve">件
</t>
    </r>
    <r>
      <rPr>
        <sz val="8"/>
        <color rgb="FF000000"/>
        <rFont val="Arial"/>
        <family val="0"/>
        <charset val="1"/>
      </rPr>
      <t xml:space="preserve">OP:1</t>
    </r>
  </si>
  <si>
    <t xml:space="preserve">202660001442</t>
  </si>
  <si>
    <r>
      <rPr>
        <b val="true"/>
        <sz val="8"/>
        <color rgb="FFC00000"/>
        <rFont val="Arial"/>
        <family val="0"/>
        <charset val="1"/>
      </rPr>
      <t xml:space="preserve">2</t>
    </r>
    <r>
      <rPr>
        <b val="true"/>
        <sz val="8"/>
        <color rgb="FFC00000"/>
        <rFont val="Noto Sans CJK SC"/>
        <family val="2"/>
      </rPr>
      <t xml:space="preserve">件
確認待</t>
    </r>
    <r>
      <rPr>
        <b val="true"/>
        <sz val="8"/>
        <color rgb="FFC00000"/>
        <rFont val="Arial"/>
        <family val="0"/>
        <charset val="1"/>
      </rPr>
      <t xml:space="preserve">:2</t>
    </r>
  </si>
  <si>
    <r>
      <rPr>
        <sz val="8"/>
        <color rgb="FFC00000"/>
        <rFont val="Arial"/>
        <family val="0"/>
        <charset val="1"/>
      </rPr>
      <t xml:space="preserve">202660000834</t>
    </r>
    <r>
      <rPr>
        <sz val="8"/>
        <color rgb="FFC00000"/>
        <rFont val="Noto Sans CJK SC"/>
        <family val="2"/>
      </rPr>
      <t xml:space="preserve">（確認事項）
</t>
    </r>
    <r>
      <rPr>
        <sz val="8"/>
        <color rgb="FFC00000"/>
        <rFont val="Arial"/>
        <family val="0"/>
        <charset val="1"/>
      </rPr>
      <t xml:space="preserve">202660001173</t>
    </r>
    <r>
      <rPr>
        <sz val="8"/>
        <color rgb="FFC00000"/>
        <rFont val="Noto Sans CJK SC"/>
        <family val="2"/>
      </rPr>
      <t xml:space="preserve">（添待ち）</t>
    </r>
  </si>
  <si>
    <r>
      <rPr>
        <b val="true"/>
        <sz val="8"/>
        <color rgb="FF000000"/>
        <rFont val="Arial"/>
        <family val="0"/>
        <charset val="1"/>
      </rPr>
      <t xml:space="preserve">1</t>
    </r>
    <r>
      <rPr>
        <b val="true"/>
        <sz val="8"/>
        <color rgb="FF000000"/>
        <rFont val="Noto Sans CJK SC"/>
        <family val="2"/>
      </rPr>
      <t xml:space="preserve">件
</t>
    </r>
    <r>
      <rPr>
        <b val="true"/>
        <sz val="8"/>
        <color rgb="FF000000"/>
        <rFont val="Arial"/>
        <family val="0"/>
        <charset val="1"/>
      </rPr>
      <t xml:space="preserve">SV:1</t>
    </r>
  </si>
  <si>
    <t xml:space="preserve">202660001319</t>
  </si>
  <si>
    <r>
      <rPr>
        <sz val="9"/>
        <color rgb="FF000000"/>
        <rFont val="Arial"/>
        <family val="0"/>
        <charset val="1"/>
      </rPr>
      <t xml:space="preserve">27 </t>
    </r>
    <r>
      <rPr>
        <sz val="9"/>
        <color rgb="FF000000"/>
        <rFont val="Noto Sans CJK SC"/>
        <family val="2"/>
      </rPr>
      <t xml:space="preserve">収入限度額以下</t>
    </r>
  </si>
  <si>
    <t xml:space="preserve">202660001521</t>
  </si>
  <si>
    <r>
      <rPr>
        <sz val="8"/>
        <color rgb="FF000000"/>
        <rFont val="Arial"/>
        <family val="0"/>
        <charset val="1"/>
      </rPr>
      <t xml:space="preserve">1</t>
    </r>
    <r>
      <rPr>
        <sz val="8"/>
        <color rgb="FF000000"/>
        <rFont val="Noto Sans CJK SC"/>
        <family val="2"/>
      </rPr>
      <t xml:space="preserve">件
</t>
    </r>
    <r>
      <rPr>
        <sz val="8"/>
        <color rgb="FF000000"/>
        <rFont val="Arial"/>
        <family val="0"/>
        <charset val="1"/>
      </rPr>
      <t xml:space="preserve">SV:1</t>
    </r>
  </si>
  <si>
    <t xml:space="preserve">202660001407</t>
  </si>
  <si>
    <r>
      <rPr>
        <b val="true"/>
        <sz val="8"/>
        <color rgb="FFC00000"/>
        <rFont val="Arial"/>
        <family val="0"/>
        <charset val="1"/>
      </rPr>
      <t xml:space="preserve">6</t>
    </r>
    <r>
      <rPr>
        <b val="true"/>
        <sz val="8"/>
        <color rgb="FFC00000"/>
        <rFont val="Noto Sans CJK SC"/>
        <family val="2"/>
      </rPr>
      <t xml:space="preserve">件
確認待</t>
    </r>
    <r>
      <rPr>
        <b val="true"/>
        <sz val="8"/>
        <color rgb="FFC00000"/>
        <rFont val="Arial"/>
        <family val="0"/>
        <charset val="1"/>
      </rPr>
      <t xml:space="preserve">:1 / SV:2 / </t>
    </r>
    <r>
      <rPr>
        <b val="true"/>
        <sz val="8"/>
        <color rgb="FFC00000"/>
        <rFont val="Noto Sans CJK SC"/>
        <family val="2"/>
      </rPr>
      <t xml:space="preserve">差戻</t>
    </r>
    <r>
      <rPr>
        <b val="true"/>
        <sz val="8"/>
        <color rgb="FFC00000"/>
        <rFont val="Arial"/>
        <family val="0"/>
        <charset val="1"/>
      </rPr>
      <t xml:space="preserve">:3</t>
    </r>
  </si>
  <si>
    <r>
      <rPr>
        <sz val="8"/>
        <color rgb="FFC00000"/>
        <rFont val="Arial"/>
        <family val="0"/>
        <charset val="1"/>
      </rPr>
      <t xml:space="preserve">202060001460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202060002466</t>
    </r>
    <r>
      <rPr>
        <sz val="8"/>
        <color rgb="FFC00000"/>
        <rFont val="Noto Sans CJK SC"/>
        <family val="2"/>
      </rPr>
      <t xml:space="preserve">（発信、削除）
</t>
    </r>
    <r>
      <rPr>
        <sz val="8"/>
        <color rgb="FFC00000"/>
        <rFont val="Arial"/>
        <family val="0"/>
        <charset val="1"/>
      </rPr>
      <t xml:space="preserve">202560002767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202660000682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202660000762</t>
    </r>
    <r>
      <rPr>
        <sz val="8"/>
        <color rgb="FFC00000"/>
        <rFont val="Noto Sans CJK SC"/>
        <family val="2"/>
      </rPr>
      <t xml:space="preserve">（発信、</t>
    </r>
    <r>
      <rPr>
        <sz val="8"/>
        <color rgb="FFC00000"/>
        <rFont val="Arial"/>
        <family val="0"/>
        <charset val="1"/>
      </rPr>
      <t xml:space="preserve">SV</t>
    </r>
    <r>
      <rPr>
        <sz val="8"/>
        <color rgb="FFC00000"/>
        <rFont val="Noto Sans CJK SC"/>
        <family val="2"/>
      </rPr>
      <t xml:space="preserve">）
</t>
    </r>
    <r>
      <rPr>
        <sz val="8"/>
        <color rgb="FFC00000"/>
        <rFont val="Arial"/>
        <family val="0"/>
        <charset val="1"/>
      </rPr>
      <t xml:space="preserve">202660001171</t>
    </r>
    <r>
      <rPr>
        <sz val="8"/>
        <color rgb="FFC00000"/>
        <rFont val="Noto Sans CJK SC"/>
        <family val="2"/>
      </rPr>
      <t xml:space="preserve">（添待ち）</t>
    </r>
  </si>
  <si>
    <r>
      <rPr>
        <sz val="8"/>
        <color rgb="FF000000"/>
        <rFont val="Arial"/>
        <family val="0"/>
        <charset val="1"/>
      </rPr>
      <t xml:space="preserve">4</t>
    </r>
    <r>
      <rPr>
        <sz val="8"/>
        <color rgb="FF000000"/>
        <rFont val="Noto Sans CJK SC"/>
        <family val="2"/>
      </rPr>
      <t xml:space="preserve">件
確認待</t>
    </r>
    <r>
      <rPr>
        <sz val="8"/>
        <color rgb="FF000000"/>
        <rFont val="Arial"/>
        <family val="0"/>
        <charset val="1"/>
      </rPr>
      <t xml:space="preserve">:4</t>
    </r>
  </si>
  <si>
    <r>
      <rPr>
        <sz val="8"/>
        <color rgb="FF000000"/>
        <rFont val="Arial"/>
        <family val="0"/>
        <charset val="1"/>
      </rPr>
      <t xml:space="preserve">202660001473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202660001483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202660001537
202660001539</t>
    </r>
  </si>
  <si>
    <r>
      <rPr>
        <b val="true"/>
        <sz val="8"/>
        <color rgb="FFC00000"/>
        <rFont val="Arial"/>
        <family val="0"/>
        <charset val="1"/>
      </rPr>
      <t xml:space="preserve">1</t>
    </r>
    <r>
      <rPr>
        <b val="true"/>
        <sz val="8"/>
        <color rgb="FFC00000"/>
        <rFont val="Noto Sans CJK SC"/>
        <family val="2"/>
      </rPr>
      <t xml:space="preserve">件
差戻</t>
    </r>
    <r>
      <rPr>
        <b val="true"/>
        <sz val="8"/>
        <color rgb="FFC00000"/>
        <rFont val="Arial"/>
        <family val="0"/>
        <charset val="1"/>
      </rPr>
      <t xml:space="preserve">:1</t>
    </r>
  </si>
  <si>
    <r>
      <rPr>
        <sz val="8"/>
        <color rgb="FFC00000"/>
        <rFont val="Arial"/>
        <family val="0"/>
        <charset val="1"/>
      </rPr>
      <t xml:space="preserve">201760002086</t>
    </r>
    <r>
      <rPr>
        <sz val="8"/>
        <color rgb="FFC00000"/>
        <rFont val="Noto Sans CJK SC"/>
        <family val="2"/>
      </rPr>
      <t xml:space="preserve">（削除）</t>
    </r>
  </si>
  <si>
    <r>
      <rPr>
        <sz val="9"/>
        <color rgb="FF000000"/>
        <rFont val="Arial"/>
        <family val="0"/>
        <charset val="1"/>
      </rPr>
      <t xml:space="preserve">25 </t>
    </r>
    <r>
      <rPr>
        <sz val="9"/>
        <color rgb="FF000000"/>
        <rFont val="Noto Sans CJK SC"/>
        <family val="2"/>
      </rPr>
      <t xml:space="preserve">育休</t>
    </r>
  </si>
  <si>
    <r>
      <rPr>
        <sz val="8"/>
        <color rgb="FFC00000"/>
        <rFont val="Arial"/>
        <family val="0"/>
        <charset val="1"/>
      </rPr>
      <t xml:space="preserve">202660000490</t>
    </r>
    <r>
      <rPr>
        <sz val="8"/>
        <color rgb="FFC00000"/>
        <rFont val="Noto Sans CJK SC"/>
        <family val="2"/>
      </rPr>
      <t xml:space="preserve">（添待ち）</t>
    </r>
  </si>
  <si>
    <r>
      <rPr>
        <sz val="8"/>
        <color rgb="FF000000"/>
        <rFont val="Arial"/>
        <family val="0"/>
        <charset val="1"/>
      </rPr>
      <t xml:space="preserve">202660001370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202660001460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202660001491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202660001541</t>
    </r>
  </si>
  <si>
    <r>
      <rPr>
        <sz val="8"/>
        <color rgb="FF000000"/>
        <rFont val="Arial"/>
        <family val="0"/>
        <charset val="1"/>
      </rPr>
      <t xml:space="preserve">5</t>
    </r>
    <r>
      <rPr>
        <sz val="8"/>
        <color rgb="FF000000"/>
        <rFont val="Noto Sans CJK SC"/>
        <family val="2"/>
      </rPr>
      <t xml:space="preserve">件
確認待</t>
    </r>
    <r>
      <rPr>
        <sz val="8"/>
        <color rgb="FF000000"/>
        <rFont val="Arial"/>
        <family val="0"/>
        <charset val="1"/>
      </rPr>
      <t xml:space="preserve">:3 / OP:2</t>
    </r>
  </si>
  <si>
    <r>
      <rPr>
        <sz val="8"/>
        <color rgb="FF000000"/>
        <rFont val="Arial"/>
        <family val="0"/>
        <charset val="1"/>
      </rPr>
      <t xml:space="preserve">202660001393
202660001399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202660001411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202660001425
202660001444</t>
    </r>
    <r>
      <rPr>
        <sz val="8"/>
        <color rgb="FF000000"/>
        <rFont val="Noto Sans CJK SC"/>
        <family val="2"/>
      </rPr>
      <t xml:space="preserve">（添待ち）</t>
    </r>
  </si>
  <si>
    <r>
      <rPr>
        <b val="true"/>
        <sz val="8"/>
        <color rgb="FFC00000"/>
        <rFont val="Arial"/>
        <family val="0"/>
        <charset val="1"/>
      </rPr>
      <t xml:space="preserve">3</t>
    </r>
    <r>
      <rPr>
        <b val="true"/>
        <sz val="8"/>
        <color rgb="FFC00000"/>
        <rFont val="Noto Sans CJK SC"/>
        <family val="2"/>
      </rPr>
      <t xml:space="preserve">件
</t>
    </r>
    <r>
      <rPr>
        <b val="true"/>
        <sz val="8"/>
        <color rgb="FFC00000"/>
        <rFont val="Arial"/>
        <family val="0"/>
        <charset val="1"/>
      </rPr>
      <t xml:space="preserve">OP:2 / </t>
    </r>
    <r>
      <rPr>
        <b val="true"/>
        <sz val="8"/>
        <color rgb="FFC00000"/>
        <rFont val="Noto Sans CJK SC"/>
        <family val="2"/>
      </rPr>
      <t xml:space="preserve">差戻</t>
    </r>
    <r>
      <rPr>
        <b val="true"/>
        <sz val="8"/>
        <color rgb="FFC00000"/>
        <rFont val="Arial"/>
        <family val="0"/>
        <charset val="1"/>
      </rPr>
      <t xml:space="preserve">:1</t>
    </r>
  </si>
  <si>
    <r>
      <rPr>
        <sz val="8"/>
        <color rgb="FFC00000"/>
        <rFont val="Arial"/>
        <family val="0"/>
        <charset val="1"/>
      </rPr>
      <t xml:space="preserve">200960002929
202560002878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202660001352</t>
    </r>
    <r>
      <rPr>
        <sz val="8"/>
        <color rgb="FFC00000"/>
        <rFont val="Noto Sans CJK SC"/>
        <family val="2"/>
      </rPr>
      <t xml:space="preserve">（</t>
    </r>
    <r>
      <rPr>
        <sz val="8"/>
        <color rgb="FFC00000"/>
        <rFont val="Arial"/>
        <family val="0"/>
        <charset val="1"/>
      </rPr>
      <t xml:space="preserve">SV</t>
    </r>
    <r>
      <rPr>
        <sz val="8"/>
        <color rgb="FFC00000"/>
        <rFont val="Noto Sans CJK SC"/>
        <family val="2"/>
      </rPr>
      <t xml:space="preserve">）</t>
    </r>
  </si>
  <si>
    <r>
      <rPr>
        <sz val="9"/>
        <color rgb="FF000000"/>
        <rFont val="Arial"/>
        <family val="0"/>
        <charset val="1"/>
      </rPr>
      <t xml:space="preserve">26 </t>
    </r>
    <r>
      <rPr>
        <sz val="9"/>
        <color rgb="FF000000"/>
        <rFont val="Noto Sans CJK SC"/>
        <family val="2"/>
      </rPr>
      <t xml:space="preserve">扶養者の変更</t>
    </r>
  </si>
  <si>
    <r>
      <rPr>
        <sz val="8"/>
        <color rgb="FF000000"/>
        <rFont val="Arial"/>
        <family val="0"/>
        <charset val="1"/>
      </rPr>
      <t xml:space="preserve">202660001484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202660001531</t>
    </r>
  </si>
  <si>
    <t xml:space="preserve">202660001423</t>
  </si>
  <si>
    <t xml:space="preserve">202660001262</t>
  </si>
  <si>
    <r>
      <rPr>
        <sz val="8"/>
        <color rgb="FF000000"/>
        <rFont val="Arial"/>
        <family val="0"/>
        <charset val="1"/>
      </rPr>
      <t xml:space="preserve">202660001298</t>
    </r>
    <r>
      <rPr>
        <sz val="8"/>
        <color rgb="FF000000"/>
        <rFont val="Noto Sans CJK SC"/>
        <family val="2"/>
      </rPr>
      <t xml:space="preserve">（添待ち）</t>
    </r>
  </si>
  <si>
    <r>
      <rPr>
        <b val="true"/>
        <sz val="8"/>
        <color rgb="FFC00000"/>
        <rFont val="Arial"/>
        <family val="0"/>
        <charset val="1"/>
      </rPr>
      <t xml:space="preserve">9</t>
    </r>
    <r>
      <rPr>
        <b val="true"/>
        <sz val="8"/>
        <color rgb="FFC00000"/>
        <rFont val="Noto Sans CJK SC"/>
        <family val="2"/>
      </rPr>
      <t xml:space="preserve">件
確認待</t>
    </r>
    <r>
      <rPr>
        <b val="true"/>
        <sz val="8"/>
        <color rgb="FFC00000"/>
        <rFont val="Arial"/>
        <family val="0"/>
        <charset val="1"/>
      </rPr>
      <t xml:space="preserve">:2 / OP:6 / </t>
    </r>
    <r>
      <rPr>
        <b val="true"/>
        <sz val="8"/>
        <color rgb="FFC00000"/>
        <rFont val="Noto Sans CJK SC"/>
        <family val="2"/>
      </rPr>
      <t xml:space="preserve">差戻</t>
    </r>
    <r>
      <rPr>
        <b val="true"/>
        <sz val="8"/>
        <color rgb="FFC00000"/>
        <rFont val="Arial"/>
        <family val="0"/>
        <charset val="1"/>
      </rPr>
      <t xml:space="preserve">:1</t>
    </r>
  </si>
  <si>
    <r>
      <rPr>
        <sz val="8"/>
        <color rgb="FFC00000"/>
        <rFont val="Arial"/>
        <family val="0"/>
        <charset val="1"/>
      </rPr>
      <t xml:space="preserve">200960002999
201260002479
202660000578</t>
    </r>
    <r>
      <rPr>
        <sz val="8"/>
        <color rgb="FFC00000"/>
        <rFont val="Noto Sans CJK SC"/>
        <family val="2"/>
      </rPr>
      <t xml:space="preserve">（確認事項）
</t>
    </r>
    <r>
      <rPr>
        <sz val="8"/>
        <color rgb="FFC00000"/>
        <rFont val="Arial"/>
        <family val="0"/>
        <charset val="1"/>
      </rPr>
      <t xml:space="preserve">202660000703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202660001000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202660001008</t>
    </r>
    <r>
      <rPr>
        <sz val="8"/>
        <color rgb="FFC00000"/>
        <rFont val="Noto Sans CJK SC"/>
        <family val="2"/>
      </rPr>
      <t xml:space="preserve">（添待ち、</t>
    </r>
    <r>
      <rPr>
        <sz val="8"/>
        <color rgb="FFC00000"/>
        <rFont val="Arial"/>
        <family val="0"/>
        <charset val="1"/>
      </rPr>
      <t xml:space="preserve">SV</t>
    </r>
    <r>
      <rPr>
        <sz val="8"/>
        <color rgb="FFC00000"/>
        <rFont val="Noto Sans CJK SC"/>
        <family val="2"/>
      </rPr>
      <t xml:space="preserve">）
</t>
    </r>
    <r>
      <rPr>
        <sz val="8"/>
        <color rgb="FFC00000"/>
        <rFont val="Arial"/>
        <family val="0"/>
        <charset val="1"/>
      </rPr>
      <t xml:space="preserve">202660001083
202660001165</t>
    </r>
    <r>
      <rPr>
        <sz val="8"/>
        <color rgb="FFC00000"/>
        <rFont val="Noto Sans CJK SC"/>
        <family val="2"/>
      </rPr>
      <t xml:space="preserve">（</t>
    </r>
    <r>
      <rPr>
        <sz val="8"/>
        <color rgb="FFC00000"/>
        <rFont val="Arial"/>
        <family val="0"/>
        <charset val="1"/>
      </rPr>
      <t xml:space="preserve">SV</t>
    </r>
    <r>
      <rPr>
        <sz val="8"/>
        <color rgb="FFC00000"/>
        <rFont val="Noto Sans CJK SC"/>
        <family val="2"/>
      </rPr>
      <t xml:space="preserve">）
</t>
    </r>
    <r>
      <rPr>
        <sz val="8"/>
        <color rgb="FFC00000"/>
        <rFont val="Arial"/>
        <family val="0"/>
        <charset val="1"/>
      </rPr>
      <t xml:space="preserve">202660001221</t>
    </r>
  </si>
  <si>
    <r>
      <rPr>
        <sz val="8"/>
        <color rgb="FF000000"/>
        <rFont val="Arial"/>
        <family val="0"/>
        <charset val="1"/>
      </rPr>
      <t xml:space="preserve">202660001433</t>
    </r>
    <r>
      <rPr>
        <sz val="8"/>
        <color rgb="FF000000"/>
        <rFont val="Noto Sans CJK SC"/>
        <family val="2"/>
      </rPr>
      <t xml:space="preserve">（添待ち）</t>
    </r>
  </si>
  <si>
    <r>
      <rPr>
        <b val="true"/>
        <sz val="8"/>
        <color rgb="FF000000"/>
        <rFont val="Arial"/>
        <family val="0"/>
        <charset val="1"/>
      </rPr>
      <t xml:space="preserve">2</t>
    </r>
    <r>
      <rPr>
        <b val="true"/>
        <sz val="8"/>
        <color rgb="FF000000"/>
        <rFont val="Noto Sans CJK SC"/>
        <family val="2"/>
      </rPr>
      <t xml:space="preserve">件
</t>
    </r>
    <r>
      <rPr>
        <b val="true"/>
        <sz val="8"/>
        <color rgb="FF000000"/>
        <rFont val="Arial"/>
        <family val="0"/>
        <charset val="1"/>
      </rPr>
      <t xml:space="preserve">SV:1 / </t>
    </r>
    <r>
      <rPr>
        <b val="true"/>
        <sz val="8"/>
        <color rgb="FF000000"/>
        <rFont val="Noto Sans CJK SC"/>
        <family val="2"/>
      </rPr>
      <t xml:space="preserve">差戻</t>
    </r>
    <r>
      <rPr>
        <b val="true"/>
        <sz val="8"/>
        <color rgb="FF000000"/>
        <rFont val="Arial"/>
        <family val="0"/>
        <charset val="1"/>
      </rPr>
      <t xml:space="preserve">:1</t>
    </r>
  </si>
  <si>
    <r>
      <rPr>
        <sz val="8"/>
        <color rgb="FF000000"/>
        <rFont val="Arial"/>
        <family val="0"/>
        <charset val="1"/>
      </rPr>
      <t xml:space="preserve">202660001342</t>
    </r>
    <r>
      <rPr>
        <sz val="8"/>
        <color rgb="FF000000"/>
        <rFont val="Noto Sans CJK SC"/>
        <family val="2"/>
      </rPr>
      <t xml:space="preserve">（添待ち）
</t>
    </r>
    <r>
      <rPr>
        <sz val="8"/>
        <color rgb="FF000000"/>
        <rFont val="Arial"/>
        <family val="0"/>
        <charset val="1"/>
      </rPr>
      <t xml:space="preserve">202660001350</t>
    </r>
  </si>
  <si>
    <r>
      <rPr>
        <sz val="8"/>
        <color rgb="FFC00000"/>
        <rFont val="Arial"/>
        <family val="0"/>
        <charset val="1"/>
      </rPr>
      <t xml:space="preserve">202660000466</t>
    </r>
    <r>
      <rPr>
        <sz val="8"/>
        <color rgb="FFC00000"/>
        <rFont val="Noto Sans CJK SC"/>
        <family val="2"/>
      </rPr>
      <t xml:space="preserve">（削除）</t>
    </r>
  </si>
  <si>
    <r>
      <rPr>
        <sz val="9"/>
        <color rgb="FF000000"/>
        <rFont val="Arial"/>
        <family val="0"/>
        <charset val="1"/>
      </rPr>
      <t xml:space="preserve">28 </t>
    </r>
    <r>
      <rPr>
        <sz val="9"/>
        <color rgb="FF000000"/>
        <rFont val="Noto Sans CJK SC"/>
        <family val="2"/>
      </rPr>
      <t xml:space="preserve">障害程度の変更</t>
    </r>
  </si>
  <si>
    <t xml:space="preserve">202660001258</t>
  </si>
  <si>
    <t xml:space="preserve">202660001495</t>
  </si>
  <si>
    <t xml:space="preserve">202660001388</t>
  </si>
  <si>
    <t xml:space="preserve">202660001257</t>
  </si>
  <si>
    <r>
      <rPr>
        <sz val="9"/>
        <color rgb="FF000000"/>
        <rFont val="Arial"/>
        <family val="0"/>
        <charset val="1"/>
      </rPr>
      <t xml:space="preserve">34 </t>
    </r>
    <r>
      <rPr>
        <sz val="9"/>
        <color rgb="FF000000"/>
        <rFont val="Noto Sans CJK SC"/>
        <family val="2"/>
      </rPr>
      <t xml:space="preserve">廃業</t>
    </r>
  </si>
  <si>
    <r>
      <rPr>
        <b val="true"/>
        <sz val="8"/>
        <color rgb="FFC00000"/>
        <rFont val="Arial"/>
        <family val="0"/>
        <charset val="1"/>
      </rPr>
      <t xml:space="preserve">1</t>
    </r>
    <r>
      <rPr>
        <b val="true"/>
        <sz val="8"/>
        <color rgb="FFC00000"/>
        <rFont val="Noto Sans CJK SC"/>
        <family val="2"/>
      </rPr>
      <t xml:space="preserve">件
</t>
    </r>
    <r>
      <rPr>
        <b val="true"/>
        <sz val="8"/>
        <color rgb="FFC00000"/>
        <rFont val="Arial"/>
        <family val="0"/>
        <charset val="1"/>
      </rPr>
      <t xml:space="preserve">OP:1</t>
    </r>
  </si>
  <si>
    <r>
      <rPr>
        <sz val="8"/>
        <color rgb="FFC00000"/>
        <rFont val="Arial"/>
        <family val="0"/>
        <charset val="1"/>
      </rPr>
      <t xml:space="preserve">202560002994</t>
    </r>
    <r>
      <rPr>
        <sz val="8"/>
        <color rgb="FFC00000"/>
        <rFont val="Noto Sans CJK SC"/>
        <family val="2"/>
      </rPr>
      <t xml:space="preserve">（添待ち、</t>
    </r>
    <r>
      <rPr>
        <sz val="8"/>
        <color rgb="FFC00000"/>
        <rFont val="Arial"/>
        <family val="0"/>
        <charset val="1"/>
      </rPr>
      <t xml:space="preserve">SV</t>
    </r>
    <r>
      <rPr>
        <sz val="8"/>
        <color rgb="FFC00000"/>
        <rFont val="Noto Sans CJK SC"/>
        <family val="2"/>
      </rPr>
      <t xml:space="preserve">）</t>
    </r>
  </si>
  <si>
    <r>
      <rPr>
        <sz val="9"/>
        <color rgb="FF000000"/>
        <rFont val="Arial"/>
        <family val="0"/>
        <charset val="1"/>
      </rPr>
      <t xml:space="preserve">48 </t>
    </r>
    <r>
      <rPr>
        <sz val="9"/>
        <color rgb="FF000000"/>
        <rFont val="Noto Sans CJK SC"/>
        <family val="2"/>
      </rPr>
      <t xml:space="preserve">雇用保険受給開始</t>
    </r>
  </si>
  <si>
    <t xml:space="preserve">202660001281</t>
  </si>
  <si>
    <r>
      <rPr>
        <sz val="9"/>
        <color rgb="FF000000"/>
        <rFont val="Arial"/>
        <family val="0"/>
        <charset val="1"/>
      </rPr>
      <t xml:space="preserve">97 </t>
    </r>
    <r>
      <rPr>
        <sz val="9"/>
        <color rgb="FF000000"/>
        <rFont val="Noto Sans CJK SC"/>
        <family val="2"/>
      </rPr>
      <t xml:space="preserve">扶養親族の同別居変更</t>
    </r>
  </si>
  <si>
    <t xml:space="preserve">202660001364</t>
  </si>
  <si>
    <r>
      <rPr>
        <b val="true"/>
        <sz val="8"/>
        <color rgb="FF000000"/>
        <rFont val="Arial"/>
        <family val="0"/>
        <charset val="1"/>
      </rPr>
      <t xml:space="preserve">2</t>
    </r>
    <r>
      <rPr>
        <b val="true"/>
        <sz val="8"/>
        <color rgb="FF000000"/>
        <rFont val="Noto Sans CJK SC"/>
        <family val="2"/>
      </rPr>
      <t xml:space="preserve">件
</t>
    </r>
    <r>
      <rPr>
        <b val="true"/>
        <sz val="8"/>
        <color rgb="FF000000"/>
        <rFont val="Arial"/>
        <family val="0"/>
        <charset val="1"/>
      </rPr>
      <t xml:space="preserve">OP:1 / SV:1</t>
    </r>
  </si>
  <si>
    <r>
      <rPr>
        <sz val="8"/>
        <color rgb="FF000000"/>
        <rFont val="Arial"/>
        <family val="0"/>
        <charset val="1"/>
      </rPr>
      <t xml:space="preserve">202660001340
202660001343</t>
    </r>
    <r>
      <rPr>
        <sz val="8"/>
        <color rgb="FF000000"/>
        <rFont val="Noto Sans CJK SC"/>
        <family val="2"/>
      </rPr>
      <t xml:space="preserve">（確認事項）</t>
    </r>
  </si>
  <si>
    <r>
      <rPr>
        <sz val="9"/>
        <color rgb="FF000000"/>
        <rFont val="Arial"/>
        <family val="0"/>
        <charset val="1"/>
      </rPr>
      <t xml:space="preserve">31 </t>
    </r>
    <r>
      <rPr>
        <sz val="9"/>
        <color rgb="FF000000"/>
        <rFont val="Noto Sans CJK SC"/>
        <family val="2"/>
      </rPr>
      <t xml:space="preserve">同居</t>
    </r>
  </si>
  <si>
    <r>
      <rPr>
        <b val="true"/>
        <sz val="8"/>
        <color rgb="FFC00000"/>
        <rFont val="Arial"/>
        <family val="0"/>
        <charset val="1"/>
      </rPr>
      <t xml:space="preserve">1</t>
    </r>
    <r>
      <rPr>
        <b val="true"/>
        <sz val="8"/>
        <color rgb="FFC00000"/>
        <rFont val="Noto Sans CJK SC"/>
        <family val="2"/>
      </rPr>
      <t xml:space="preserve">件
</t>
    </r>
    <r>
      <rPr>
        <b val="true"/>
        <sz val="8"/>
        <color rgb="FFC00000"/>
        <rFont val="Arial"/>
        <family val="0"/>
        <charset val="1"/>
      </rPr>
      <t xml:space="preserve">SV:1</t>
    </r>
  </si>
  <si>
    <r>
      <rPr>
        <sz val="8"/>
        <color rgb="FFC00000"/>
        <rFont val="Arial"/>
        <family val="0"/>
        <charset val="1"/>
      </rPr>
      <t xml:space="preserve">202660001070</t>
    </r>
    <r>
      <rPr>
        <sz val="8"/>
        <color rgb="FFC00000"/>
        <rFont val="Noto Sans CJK SC"/>
        <family val="2"/>
      </rPr>
      <t xml:space="preserve">（添待ち、</t>
    </r>
    <r>
      <rPr>
        <sz val="8"/>
        <color rgb="FFC00000"/>
        <rFont val="Arial"/>
        <family val="0"/>
        <charset val="1"/>
      </rPr>
      <t xml:space="preserve">SV</t>
    </r>
    <r>
      <rPr>
        <sz val="8"/>
        <color rgb="FFC00000"/>
        <rFont val="Noto Sans CJK SC"/>
        <family val="2"/>
      </rPr>
      <t xml:space="preserve">）</t>
    </r>
  </si>
  <si>
    <r>
      <rPr>
        <sz val="9"/>
        <color rgb="FF000000"/>
        <rFont val="Arial"/>
        <family val="0"/>
        <charset val="1"/>
      </rPr>
      <t xml:space="preserve">99 </t>
    </r>
    <r>
      <rPr>
        <sz val="9"/>
        <color rgb="FF000000"/>
        <rFont val="Noto Sans CJK SC"/>
        <family val="2"/>
      </rPr>
      <t xml:space="preserve">その他</t>
    </r>
  </si>
  <si>
    <r>
      <rPr>
        <b val="true"/>
        <sz val="8"/>
        <color rgb="FF000000"/>
        <rFont val="Arial"/>
        <family val="0"/>
        <charset val="1"/>
      </rPr>
      <t xml:space="preserve">1</t>
    </r>
    <r>
      <rPr>
        <b val="true"/>
        <sz val="8"/>
        <color rgb="FF000000"/>
        <rFont val="Noto Sans CJK SC"/>
        <family val="2"/>
      </rPr>
      <t xml:space="preserve">件
確認待</t>
    </r>
    <r>
      <rPr>
        <b val="true"/>
        <sz val="8"/>
        <color rgb="FF000000"/>
        <rFont val="Arial"/>
        <family val="0"/>
        <charset val="1"/>
      </rPr>
      <t xml:space="preserve">:1</t>
    </r>
  </si>
  <si>
    <r>
      <rPr>
        <sz val="8"/>
        <color rgb="FF000000"/>
        <rFont val="Arial"/>
        <family val="0"/>
        <charset val="1"/>
      </rPr>
      <t xml:space="preserve">202660001274</t>
    </r>
    <r>
      <rPr>
        <sz val="8"/>
        <color rgb="FF000000"/>
        <rFont val="Noto Sans CJK SC"/>
        <family val="2"/>
      </rPr>
      <t xml:space="preserve">（添待ち）</t>
    </r>
  </si>
  <si>
    <r>
      <rPr>
        <b val="true"/>
        <sz val="8"/>
        <color rgb="FFC00000"/>
        <rFont val="Arial"/>
        <family val="0"/>
        <charset val="1"/>
      </rPr>
      <t xml:space="preserve">5</t>
    </r>
    <r>
      <rPr>
        <b val="true"/>
        <sz val="8"/>
        <color rgb="FFC00000"/>
        <rFont val="Noto Sans CJK SC"/>
        <family val="2"/>
      </rPr>
      <t xml:space="preserve">件
確認待</t>
    </r>
    <r>
      <rPr>
        <b val="true"/>
        <sz val="8"/>
        <color rgb="FFC00000"/>
        <rFont val="Arial"/>
        <family val="0"/>
        <charset val="1"/>
      </rPr>
      <t xml:space="preserve">:1 / OP:1 / SV:1 / </t>
    </r>
    <r>
      <rPr>
        <b val="true"/>
        <sz val="8"/>
        <color rgb="FFC00000"/>
        <rFont val="Noto Sans CJK SC"/>
        <family val="2"/>
      </rPr>
      <t xml:space="preserve">差戻</t>
    </r>
    <r>
      <rPr>
        <b val="true"/>
        <sz val="8"/>
        <color rgb="FFC00000"/>
        <rFont val="Arial"/>
        <family val="0"/>
        <charset val="1"/>
      </rPr>
      <t xml:space="preserve">:2</t>
    </r>
  </si>
  <si>
    <r>
      <rPr>
        <sz val="8"/>
        <color rgb="FFC00000"/>
        <rFont val="Arial"/>
        <family val="0"/>
        <charset val="1"/>
      </rPr>
      <t xml:space="preserve">201060002518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202460000609</t>
    </r>
    <r>
      <rPr>
        <sz val="8"/>
        <color rgb="FFC00000"/>
        <rFont val="Noto Sans CJK SC"/>
        <family val="2"/>
      </rPr>
      <t xml:space="preserve">（確認事項）
</t>
    </r>
    <r>
      <rPr>
        <sz val="8"/>
        <color rgb="FFC00000"/>
        <rFont val="Arial"/>
        <family val="0"/>
        <charset val="1"/>
      </rPr>
      <t xml:space="preserve">202560003089</t>
    </r>
    <r>
      <rPr>
        <sz val="8"/>
        <color rgb="FFC00000"/>
        <rFont val="Noto Sans CJK SC"/>
        <family val="2"/>
      </rPr>
      <t xml:space="preserve">（確認事項）
</t>
    </r>
    <r>
      <rPr>
        <sz val="8"/>
        <color rgb="FFC00000"/>
        <rFont val="Arial"/>
        <family val="0"/>
        <charset val="1"/>
      </rPr>
      <t xml:space="preserve">202660000073</t>
    </r>
    <r>
      <rPr>
        <sz val="8"/>
        <color rgb="FFC00000"/>
        <rFont val="Noto Sans CJK SC"/>
        <family val="2"/>
      </rPr>
      <t xml:space="preserve">（確認事項）
</t>
    </r>
    <r>
      <rPr>
        <sz val="8"/>
        <color rgb="FFC00000"/>
        <rFont val="Arial"/>
        <family val="0"/>
        <charset val="1"/>
      </rPr>
      <t xml:space="preserve">202660001220</t>
    </r>
    <r>
      <rPr>
        <sz val="8"/>
        <color rgb="FFC00000"/>
        <rFont val="Noto Sans CJK SC"/>
        <family val="2"/>
      </rPr>
      <t xml:space="preserve">（添待ち）</t>
    </r>
  </si>
  <si>
    <t xml:space="preserve">202660001535</t>
  </si>
  <si>
    <r>
      <rPr>
        <sz val="8"/>
        <color rgb="FF000000"/>
        <rFont val="Arial"/>
        <family val="0"/>
        <charset val="1"/>
      </rPr>
      <t xml:space="preserve">202660001448</t>
    </r>
    <r>
      <rPr>
        <sz val="8"/>
        <color rgb="FF000000"/>
        <rFont val="Noto Sans CJK SC"/>
        <family val="2"/>
      </rPr>
      <t xml:space="preserve">（添待ち）</t>
    </r>
  </si>
  <si>
    <r>
      <rPr>
        <sz val="8"/>
        <color rgb="FF000000"/>
        <rFont val="Arial"/>
        <family val="0"/>
        <charset val="1"/>
      </rPr>
      <t xml:space="preserve">202660001278</t>
    </r>
    <r>
      <rPr>
        <sz val="8"/>
        <color rgb="FF000000"/>
        <rFont val="Noto Sans CJK SC"/>
        <family val="2"/>
      </rPr>
      <t xml:space="preserve">（添待ち）</t>
    </r>
  </si>
  <si>
    <r>
      <rPr>
        <b val="true"/>
        <sz val="8"/>
        <color rgb="FFC00000"/>
        <rFont val="Arial"/>
        <family val="0"/>
        <charset val="1"/>
      </rPr>
      <t xml:space="preserve">3</t>
    </r>
    <r>
      <rPr>
        <b val="true"/>
        <sz val="8"/>
        <color rgb="FFC00000"/>
        <rFont val="Noto Sans CJK SC"/>
        <family val="2"/>
      </rPr>
      <t xml:space="preserve">件
受付</t>
    </r>
    <r>
      <rPr>
        <b val="true"/>
        <sz val="8"/>
        <color rgb="FFC00000"/>
        <rFont val="Arial"/>
        <family val="0"/>
        <charset val="1"/>
      </rPr>
      <t xml:space="preserve">:1 / OP:1 / </t>
    </r>
    <r>
      <rPr>
        <b val="true"/>
        <sz val="8"/>
        <color rgb="FFC00000"/>
        <rFont val="Noto Sans CJK SC"/>
        <family val="2"/>
      </rPr>
      <t xml:space="preserve">差戻</t>
    </r>
    <r>
      <rPr>
        <b val="true"/>
        <sz val="8"/>
        <color rgb="FFC00000"/>
        <rFont val="Arial"/>
        <family val="0"/>
        <charset val="1"/>
      </rPr>
      <t xml:space="preserve">:1</t>
    </r>
  </si>
  <si>
    <r>
      <rPr>
        <sz val="8"/>
        <color rgb="FFC00000"/>
        <rFont val="Arial"/>
        <family val="0"/>
        <charset val="1"/>
      </rPr>
      <t xml:space="preserve">201560001259</t>
    </r>
    <r>
      <rPr>
        <sz val="8"/>
        <color rgb="FFC00000"/>
        <rFont val="Noto Sans CJK SC"/>
        <family val="2"/>
      </rPr>
      <t xml:space="preserve">（管）
</t>
    </r>
    <r>
      <rPr>
        <sz val="8"/>
        <color rgb="FFC00000"/>
        <rFont val="Arial"/>
        <family val="0"/>
        <charset val="1"/>
      </rPr>
      <t xml:space="preserve">201560002704</t>
    </r>
    <r>
      <rPr>
        <sz val="8"/>
        <color rgb="FFC00000"/>
        <rFont val="Noto Sans CJK SC"/>
        <family val="2"/>
      </rPr>
      <t xml:space="preserve">（削除）
</t>
    </r>
    <r>
      <rPr>
        <sz val="8"/>
        <color rgb="FFC00000"/>
        <rFont val="Arial"/>
        <family val="0"/>
        <charset val="1"/>
      </rPr>
      <t xml:space="preserve">202660001245</t>
    </r>
  </si>
  <si>
    <r>
      <rPr>
        <sz val="9"/>
        <color rgb="FF000000"/>
        <rFont val="Arial"/>
        <family val="0"/>
        <charset val="1"/>
      </rPr>
      <t xml:space="preserve">03 </t>
    </r>
    <r>
      <rPr>
        <sz val="9"/>
        <color rgb="FF000000"/>
        <rFont val="Noto Sans CJK SC"/>
        <family val="2"/>
      </rPr>
      <t xml:space="preserve">離婚</t>
    </r>
  </si>
  <si>
    <t xml:space="preserve">202560001201</t>
  </si>
  <si>
    <r>
      <rPr>
        <sz val="8"/>
        <color rgb="FF000000"/>
        <rFont val="Arial"/>
        <family val="0"/>
        <charset val="1"/>
      </rPr>
      <t xml:space="preserve">3</t>
    </r>
    <r>
      <rPr>
        <sz val="8"/>
        <color rgb="FF000000"/>
        <rFont val="Noto Sans CJK SC"/>
        <family val="2"/>
      </rPr>
      <t xml:space="preserve">件
受付</t>
    </r>
    <r>
      <rPr>
        <sz val="8"/>
        <color rgb="FF000000"/>
        <rFont val="Arial"/>
        <family val="0"/>
        <charset val="1"/>
      </rPr>
      <t xml:space="preserve">:3</t>
    </r>
  </si>
  <si>
    <t xml:space="preserve">202660001478
202660001487
202660001499</t>
  </si>
  <si>
    <r>
      <rPr>
        <sz val="8"/>
        <color rgb="FF000000"/>
        <rFont val="Arial"/>
        <family val="0"/>
        <charset val="1"/>
      </rPr>
      <t xml:space="preserve">6</t>
    </r>
    <r>
      <rPr>
        <sz val="8"/>
        <color rgb="FF000000"/>
        <rFont val="Noto Sans CJK SC"/>
        <family val="2"/>
      </rPr>
      <t xml:space="preserve">件
</t>
    </r>
    <r>
      <rPr>
        <sz val="8"/>
        <color rgb="FF000000"/>
        <rFont val="Arial"/>
        <family val="0"/>
        <charset val="1"/>
      </rPr>
      <t xml:space="preserve">OP:1 / SV:5</t>
    </r>
  </si>
  <si>
    <t xml:space="preserve">202660001384
202660001389
202660001391
202660001392
202660001394
202660001418</t>
  </si>
  <si>
    <t xml:space="preserve">202660001333</t>
  </si>
  <si>
    <r>
      <rPr>
        <b val="true"/>
        <sz val="8"/>
        <color rgb="FFC00000"/>
        <rFont val="Arial"/>
        <family val="0"/>
        <charset val="1"/>
      </rPr>
      <t xml:space="preserve">3</t>
    </r>
    <r>
      <rPr>
        <b val="true"/>
        <sz val="8"/>
        <color rgb="FFC00000"/>
        <rFont val="Noto Sans CJK SC"/>
        <family val="2"/>
      </rPr>
      <t xml:space="preserve">件
</t>
    </r>
    <r>
      <rPr>
        <b val="true"/>
        <sz val="8"/>
        <color rgb="FFC00000"/>
        <rFont val="Arial"/>
        <family val="0"/>
        <charset val="1"/>
      </rPr>
      <t xml:space="preserve">OP:1 / </t>
    </r>
    <r>
      <rPr>
        <b val="true"/>
        <sz val="8"/>
        <color rgb="FFC00000"/>
        <rFont val="Noto Sans CJK SC"/>
        <family val="2"/>
      </rPr>
      <t xml:space="preserve">差戻</t>
    </r>
    <r>
      <rPr>
        <b val="true"/>
        <sz val="8"/>
        <color rgb="FFC00000"/>
        <rFont val="Arial"/>
        <family val="0"/>
        <charset val="1"/>
      </rPr>
      <t xml:space="preserve">:2</t>
    </r>
  </si>
  <si>
    <r>
      <rPr>
        <sz val="8"/>
        <color rgb="FFC00000"/>
        <rFont val="Arial"/>
        <family val="0"/>
        <charset val="1"/>
      </rPr>
      <t xml:space="preserve">202360000913
202560001622</t>
    </r>
    <r>
      <rPr>
        <sz val="8"/>
        <color rgb="FFC00000"/>
        <rFont val="Noto Sans CJK SC"/>
        <family val="2"/>
      </rPr>
      <t xml:space="preserve">（削除）
</t>
    </r>
    <r>
      <rPr>
        <sz val="8"/>
        <color rgb="FFC00000"/>
        <rFont val="Arial"/>
        <family val="0"/>
        <charset val="1"/>
      </rPr>
      <t xml:space="preserve">202660001197</t>
    </r>
    <r>
      <rPr>
        <sz val="8"/>
        <color rgb="FFC00000"/>
        <rFont val="Noto Sans CJK SC"/>
        <family val="2"/>
      </rPr>
      <t xml:space="preserve">（削除）</t>
    </r>
  </si>
  <si>
    <r>
      <rPr>
        <sz val="9"/>
        <color rgb="FF000000"/>
        <rFont val="Arial"/>
        <family val="0"/>
        <charset val="1"/>
      </rPr>
      <t xml:space="preserve">09 </t>
    </r>
    <r>
      <rPr>
        <sz val="9"/>
        <color rgb="FF000000"/>
        <rFont val="Noto Sans CJK SC"/>
        <family val="2"/>
      </rPr>
      <t xml:space="preserve">死亡</t>
    </r>
  </si>
  <si>
    <r>
      <rPr>
        <b val="true"/>
        <sz val="8"/>
        <color rgb="FFC00000"/>
        <rFont val="Arial"/>
        <family val="0"/>
        <charset val="1"/>
      </rPr>
      <t xml:space="preserve">2</t>
    </r>
    <r>
      <rPr>
        <b val="true"/>
        <sz val="8"/>
        <color rgb="FFC00000"/>
        <rFont val="Noto Sans CJK SC"/>
        <family val="2"/>
      </rPr>
      <t xml:space="preserve">件
</t>
    </r>
    <r>
      <rPr>
        <b val="true"/>
        <sz val="8"/>
        <color rgb="FFC00000"/>
        <rFont val="Arial"/>
        <family val="0"/>
        <charset val="1"/>
      </rPr>
      <t xml:space="preserve">OP:1 / </t>
    </r>
    <r>
      <rPr>
        <b val="true"/>
        <sz val="8"/>
        <color rgb="FFC00000"/>
        <rFont val="Noto Sans CJK SC"/>
        <family val="2"/>
      </rPr>
      <t xml:space="preserve">差戻</t>
    </r>
    <r>
      <rPr>
        <b val="true"/>
        <sz val="8"/>
        <color rgb="FFC00000"/>
        <rFont val="Arial"/>
        <family val="0"/>
        <charset val="1"/>
      </rPr>
      <t xml:space="preserve">:1</t>
    </r>
  </si>
  <si>
    <r>
      <rPr>
        <sz val="8"/>
        <color rgb="FFC00000"/>
        <rFont val="Arial"/>
        <family val="0"/>
        <charset val="1"/>
      </rPr>
      <t xml:space="preserve">201660002819</t>
    </r>
    <r>
      <rPr>
        <sz val="8"/>
        <color rgb="FFC00000"/>
        <rFont val="Noto Sans CJK SC"/>
        <family val="2"/>
      </rPr>
      <t xml:space="preserve">（削除）
</t>
    </r>
    <r>
      <rPr>
        <sz val="8"/>
        <color rgb="FFC00000"/>
        <rFont val="Arial"/>
        <family val="0"/>
        <charset val="1"/>
      </rPr>
      <t xml:space="preserve">201860001862</t>
    </r>
  </si>
  <si>
    <t xml:space="preserve">202660001534</t>
  </si>
  <si>
    <r>
      <rPr>
        <sz val="8"/>
        <color rgb="FF000000"/>
        <rFont val="Arial"/>
        <family val="0"/>
        <charset val="1"/>
      </rPr>
      <t xml:space="preserve">2</t>
    </r>
    <r>
      <rPr>
        <sz val="8"/>
        <color rgb="FF000000"/>
        <rFont val="Noto Sans CJK SC"/>
        <family val="2"/>
      </rPr>
      <t xml:space="preserve">件
受付</t>
    </r>
    <r>
      <rPr>
        <sz val="8"/>
        <color rgb="FF000000"/>
        <rFont val="Arial"/>
        <family val="0"/>
        <charset val="1"/>
      </rPr>
      <t xml:space="preserve">:2</t>
    </r>
  </si>
  <si>
    <t xml:space="preserve">202660001430
202660001435</t>
  </si>
  <si>
    <r>
      <rPr>
        <sz val="9"/>
        <color rgb="FF000000"/>
        <rFont val="Arial"/>
        <family val="0"/>
        <charset val="1"/>
      </rPr>
      <t xml:space="preserve">47 </t>
    </r>
    <r>
      <rPr>
        <sz val="9"/>
        <color rgb="FF000000"/>
        <rFont val="Noto Sans CJK SC"/>
        <family val="2"/>
      </rPr>
      <t xml:space="preserve">扶養親族の就職</t>
    </r>
  </si>
  <si>
    <r>
      <rPr>
        <sz val="8"/>
        <color rgb="FF000000"/>
        <rFont val="Arial"/>
        <family val="0"/>
        <charset val="1"/>
      </rPr>
      <t xml:space="preserve">2</t>
    </r>
    <r>
      <rPr>
        <sz val="8"/>
        <color rgb="FF000000"/>
        <rFont val="Noto Sans CJK SC"/>
        <family val="2"/>
      </rPr>
      <t xml:space="preserve">件
確認待</t>
    </r>
    <r>
      <rPr>
        <sz val="8"/>
        <color rgb="FF000000"/>
        <rFont val="Arial"/>
        <family val="0"/>
        <charset val="1"/>
      </rPr>
      <t xml:space="preserve">:1 / </t>
    </r>
    <r>
      <rPr>
        <sz val="8"/>
        <color rgb="FF000000"/>
        <rFont val="Noto Sans CJK SC"/>
        <family val="2"/>
      </rPr>
      <t xml:space="preserve">受付</t>
    </r>
    <r>
      <rPr>
        <sz val="8"/>
        <color rgb="FF000000"/>
        <rFont val="Arial"/>
        <family val="0"/>
        <charset val="1"/>
      </rPr>
      <t xml:space="preserve">:1</t>
    </r>
  </si>
  <si>
    <t xml:space="preserve">202660001475
202660001533</t>
  </si>
  <si>
    <r>
      <rPr>
        <sz val="8"/>
        <color rgb="FF000000"/>
        <rFont val="Arial"/>
        <family val="0"/>
        <charset val="1"/>
      </rPr>
      <t xml:space="preserve">1</t>
    </r>
    <r>
      <rPr>
        <sz val="8"/>
        <color rgb="FF000000"/>
        <rFont val="Noto Sans CJK SC"/>
        <family val="2"/>
      </rPr>
      <t xml:space="preserve">件
受付</t>
    </r>
    <r>
      <rPr>
        <sz val="8"/>
        <color rgb="FF000000"/>
        <rFont val="Arial"/>
        <family val="0"/>
        <charset val="1"/>
      </rPr>
      <t xml:space="preserve">:1</t>
    </r>
  </si>
  <si>
    <t xml:space="preserve">202660001415</t>
  </si>
  <si>
    <r>
      <rPr>
        <sz val="8"/>
        <color rgb="FF000000"/>
        <rFont val="Arial"/>
        <family val="0"/>
        <charset val="1"/>
      </rPr>
      <t xml:space="preserve">202660001269</t>
    </r>
    <r>
      <rPr>
        <sz val="8"/>
        <color rgb="FF000000"/>
        <rFont val="Noto Sans CJK SC"/>
        <family val="2"/>
      </rPr>
      <t xml:space="preserve">（削除）</t>
    </r>
  </si>
  <si>
    <r>
      <rPr>
        <sz val="8"/>
        <color rgb="FF000000"/>
        <rFont val="Arial"/>
        <family val="0"/>
        <charset val="1"/>
      </rPr>
      <t xml:space="preserve">202660000452</t>
    </r>
    <r>
      <rPr>
        <sz val="8"/>
        <color rgb="FF000000"/>
        <rFont val="Noto Sans CJK SC"/>
        <family val="2"/>
      </rPr>
      <t xml:space="preserve">（添待ち）</t>
    </r>
  </si>
  <si>
    <r>
      <rPr>
        <b val="true"/>
        <sz val="8"/>
        <color rgb="FFC00000"/>
        <rFont val="Arial"/>
        <family val="0"/>
        <charset val="1"/>
      </rPr>
      <t xml:space="preserve">11</t>
    </r>
    <r>
      <rPr>
        <b val="true"/>
        <sz val="8"/>
        <color rgb="FFC00000"/>
        <rFont val="Noto Sans CJK SC"/>
        <family val="2"/>
      </rPr>
      <t xml:space="preserve">件
確認待</t>
    </r>
    <r>
      <rPr>
        <b val="true"/>
        <sz val="8"/>
        <color rgb="FFC00000"/>
        <rFont val="Arial"/>
        <family val="0"/>
        <charset val="1"/>
      </rPr>
      <t xml:space="preserve">:2 / OP:3 / SV:1 / </t>
    </r>
    <r>
      <rPr>
        <b val="true"/>
        <sz val="8"/>
        <color rgb="FFC00000"/>
        <rFont val="Noto Sans CJK SC"/>
        <family val="2"/>
      </rPr>
      <t xml:space="preserve">差戻</t>
    </r>
    <r>
      <rPr>
        <b val="true"/>
        <sz val="8"/>
        <color rgb="FFC00000"/>
        <rFont val="Arial"/>
        <family val="0"/>
        <charset val="1"/>
      </rPr>
      <t xml:space="preserve">:5</t>
    </r>
  </si>
  <si>
    <r>
      <rPr>
        <sz val="8"/>
        <color rgb="FFC00000"/>
        <rFont val="Arial"/>
        <family val="0"/>
        <charset val="1"/>
      </rPr>
      <t xml:space="preserve">200860002045
201160000813
201460000430
202460000121</t>
    </r>
    <r>
      <rPr>
        <sz val="8"/>
        <color rgb="FFC00000"/>
        <rFont val="Noto Sans CJK SC"/>
        <family val="2"/>
      </rPr>
      <t xml:space="preserve">（削除）
</t>
    </r>
    <r>
      <rPr>
        <sz val="8"/>
        <color rgb="FFC00000"/>
        <rFont val="Arial"/>
        <family val="0"/>
        <charset val="1"/>
      </rPr>
      <t xml:space="preserve">202460000142</t>
    </r>
    <r>
      <rPr>
        <sz val="8"/>
        <color rgb="FFC00000"/>
        <rFont val="Noto Sans CJK SC"/>
        <family val="2"/>
      </rPr>
      <t xml:space="preserve">（削除）
</t>
    </r>
    <r>
      <rPr>
        <sz val="8"/>
        <color rgb="FFC00000"/>
        <rFont val="Arial"/>
        <family val="0"/>
        <charset val="1"/>
      </rPr>
      <t xml:space="preserve">202660000364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202660000646
202660000842</t>
    </r>
    <r>
      <rPr>
        <sz val="8"/>
        <color rgb="FFC00000"/>
        <rFont val="Noto Sans CJK SC"/>
        <family val="2"/>
      </rPr>
      <t xml:space="preserve">（削除）
</t>
    </r>
    <r>
      <rPr>
        <sz val="8"/>
        <color rgb="FFC00000"/>
        <rFont val="Arial"/>
        <family val="0"/>
        <charset val="1"/>
      </rPr>
      <t xml:space="preserve">202660000967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202660001188</t>
    </r>
    <r>
      <rPr>
        <sz val="8"/>
        <color rgb="FFC00000"/>
        <rFont val="Noto Sans CJK SC"/>
        <family val="2"/>
      </rPr>
      <t xml:space="preserve">（削除）
</t>
    </r>
    <r>
      <rPr>
        <sz val="8"/>
        <color rgb="FFC00000"/>
        <rFont val="Arial"/>
        <family val="0"/>
        <charset val="1"/>
      </rPr>
      <t xml:space="preserve">202660001215</t>
    </r>
    <r>
      <rPr>
        <sz val="8"/>
        <color rgb="FFC00000"/>
        <rFont val="Noto Sans CJK SC"/>
        <family val="2"/>
      </rPr>
      <t xml:space="preserve">（添待ち）</t>
    </r>
  </si>
  <si>
    <r>
      <rPr>
        <sz val="8"/>
        <color rgb="FF000000"/>
        <rFont val="Arial"/>
        <family val="0"/>
        <charset val="1"/>
      </rPr>
      <t xml:space="preserve">5</t>
    </r>
    <r>
      <rPr>
        <sz val="8"/>
        <color rgb="FF000000"/>
        <rFont val="Noto Sans CJK SC"/>
        <family val="2"/>
      </rPr>
      <t xml:space="preserve">件
受付</t>
    </r>
    <r>
      <rPr>
        <sz val="8"/>
        <color rgb="FF000000"/>
        <rFont val="Arial"/>
        <family val="0"/>
        <charset val="1"/>
      </rPr>
      <t xml:space="preserve">:4 / OP:1</t>
    </r>
  </si>
  <si>
    <t xml:space="preserve">202660001464
202660001467
202660001476
202660001504
202660001519</t>
  </si>
  <si>
    <r>
      <rPr>
        <sz val="8"/>
        <color rgb="FF000000"/>
        <rFont val="Arial"/>
        <family val="0"/>
        <charset val="1"/>
      </rPr>
      <t xml:space="preserve">5</t>
    </r>
    <r>
      <rPr>
        <sz val="8"/>
        <color rgb="FF000000"/>
        <rFont val="Noto Sans CJK SC"/>
        <family val="2"/>
      </rPr>
      <t xml:space="preserve">件
受付</t>
    </r>
    <r>
      <rPr>
        <sz val="8"/>
        <color rgb="FF000000"/>
        <rFont val="Arial"/>
        <family val="0"/>
        <charset val="1"/>
      </rPr>
      <t xml:space="preserve">:5</t>
    </r>
  </si>
  <si>
    <t xml:space="preserve">202660001383
202660001405
202660001426
202660001431
202660001449</t>
  </si>
  <si>
    <t xml:space="preserve">202660001108</t>
  </si>
  <si>
    <r>
      <rPr>
        <sz val="8"/>
        <color rgb="FFC00000"/>
        <rFont val="Arial"/>
        <family val="0"/>
        <charset val="1"/>
      </rPr>
      <t xml:space="preserve">201360001338</t>
    </r>
    <r>
      <rPr>
        <sz val="8"/>
        <color rgb="FFC00000"/>
        <rFont val="Noto Sans CJK SC"/>
        <family val="2"/>
      </rPr>
      <t xml:space="preserve">（削除）
</t>
    </r>
    <r>
      <rPr>
        <sz val="8"/>
        <color rgb="FFC00000"/>
        <rFont val="Arial"/>
        <family val="0"/>
        <charset val="1"/>
      </rPr>
      <t xml:space="preserve">202660000276</t>
    </r>
    <r>
      <rPr>
        <sz val="8"/>
        <color rgb="FFC00000"/>
        <rFont val="Noto Sans CJK SC"/>
        <family val="2"/>
      </rPr>
      <t xml:space="preserve">（添待ち）</t>
    </r>
  </si>
  <si>
    <r>
      <rPr>
        <sz val="9"/>
        <color rgb="FF000000"/>
        <rFont val="Arial"/>
        <family val="0"/>
        <charset val="1"/>
      </rPr>
      <t xml:space="preserve">49 </t>
    </r>
    <r>
      <rPr>
        <sz val="9"/>
        <color rgb="FF000000"/>
        <rFont val="Noto Sans CJK SC"/>
        <family val="2"/>
      </rPr>
      <t xml:space="preserve">復職</t>
    </r>
  </si>
  <si>
    <t xml:space="preserve">202660001471</t>
  </si>
  <si>
    <t xml:space="preserve">202660001436</t>
  </si>
  <si>
    <r>
      <rPr>
        <sz val="8"/>
        <color rgb="FF000000"/>
        <rFont val="Arial"/>
        <family val="0"/>
        <charset val="1"/>
      </rPr>
      <t xml:space="preserve">6</t>
    </r>
    <r>
      <rPr>
        <sz val="8"/>
        <color rgb="FF000000"/>
        <rFont val="Noto Sans CJK SC"/>
        <family val="2"/>
      </rPr>
      <t xml:space="preserve">件
確認待</t>
    </r>
    <r>
      <rPr>
        <sz val="8"/>
        <color rgb="FF000000"/>
        <rFont val="Arial"/>
        <family val="0"/>
        <charset val="1"/>
      </rPr>
      <t xml:space="preserve">:3 / </t>
    </r>
    <r>
      <rPr>
        <sz val="8"/>
        <color rgb="FF000000"/>
        <rFont val="Noto Sans CJK SC"/>
        <family val="2"/>
      </rPr>
      <t xml:space="preserve">受付</t>
    </r>
    <r>
      <rPr>
        <sz val="8"/>
        <color rgb="FF000000"/>
        <rFont val="Arial"/>
        <family val="0"/>
        <charset val="1"/>
      </rPr>
      <t xml:space="preserve">:3</t>
    </r>
  </si>
  <si>
    <t xml:space="preserve">202660001502
202660001512
202660001517
202660001524
202660001529
202660001546</t>
  </si>
  <si>
    <t xml:space="preserve">202660001397
202660001409
202660001421</t>
  </si>
  <si>
    <r>
      <rPr>
        <b val="true"/>
        <sz val="8"/>
        <color rgb="FFC00000"/>
        <rFont val="Arial"/>
        <family val="0"/>
        <charset val="1"/>
      </rPr>
      <t xml:space="preserve">2</t>
    </r>
    <r>
      <rPr>
        <b val="true"/>
        <sz val="8"/>
        <color rgb="FFC00000"/>
        <rFont val="Noto Sans CJK SC"/>
        <family val="2"/>
      </rPr>
      <t xml:space="preserve">件
受付</t>
    </r>
    <r>
      <rPr>
        <b val="true"/>
        <sz val="8"/>
        <color rgb="FFC00000"/>
        <rFont val="Arial"/>
        <family val="0"/>
        <charset val="1"/>
      </rPr>
      <t xml:space="preserve">:1 / SV:1</t>
    </r>
  </si>
  <si>
    <t xml:space="preserve">202560002958
202660001164</t>
  </si>
  <si>
    <r>
      <rPr>
        <sz val="9"/>
        <color rgb="FF000000"/>
        <rFont val="Arial"/>
        <family val="0"/>
        <charset val="1"/>
      </rPr>
      <t xml:space="preserve">50 </t>
    </r>
    <r>
      <rPr>
        <sz val="9"/>
        <color rgb="FF000000"/>
        <rFont val="Noto Sans CJK SC"/>
        <family val="2"/>
      </rPr>
      <t xml:space="preserve">扶養者の変更</t>
    </r>
  </si>
  <si>
    <r>
      <rPr>
        <b val="true"/>
        <sz val="8"/>
        <color rgb="FF000000"/>
        <rFont val="Arial"/>
        <family val="0"/>
        <charset val="1"/>
      </rPr>
      <t xml:space="preserve">2</t>
    </r>
    <r>
      <rPr>
        <b val="true"/>
        <sz val="8"/>
        <color rgb="FF000000"/>
        <rFont val="Noto Sans CJK SC"/>
        <family val="2"/>
      </rPr>
      <t xml:space="preserve">件
確認待</t>
    </r>
    <r>
      <rPr>
        <b val="true"/>
        <sz val="8"/>
        <color rgb="FF000000"/>
        <rFont val="Arial"/>
        <family val="0"/>
        <charset val="1"/>
      </rPr>
      <t xml:space="preserve">:1 / </t>
    </r>
    <r>
      <rPr>
        <b val="true"/>
        <sz val="8"/>
        <color rgb="FF000000"/>
        <rFont val="Noto Sans CJK SC"/>
        <family val="2"/>
      </rPr>
      <t xml:space="preserve">受付</t>
    </r>
    <r>
      <rPr>
        <b val="true"/>
        <sz val="8"/>
        <color rgb="FF000000"/>
        <rFont val="Arial"/>
        <family val="0"/>
        <charset val="1"/>
      </rPr>
      <t xml:space="preserve">:1</t>
    </r>
  </si>
  <si>
    <t xml:space="preserve">202660001292
202660001300</t>
  </si>
  <si>
    <r>
      <rPr>
        <b val="true"/>
        <sz val="8"/>
        <color rgb="FFC00000"/>
        <rFont val="Arial"/>
        <family val="0"/>
        <charset val="1"/>
      </rPr>
      <t xml:space="preserve">6</t>
    </r>
    <r>
      <rPr>
        <b val="true"/>
        <sz val="8"/>
        <color rgb="FFC00000"/>
        <rFont val="Noto Sans CJK SC"/>
        <family val="2"/>
      </rPr>
      <t xml:space="preserve">件
</t>
    </r>
    <r>
      <rPr>
        <b val="true"/>
        <sz val="8"/>
        <color rgb="FFC00000"/>
        <rFont val="Arial"/>
        <family val="0"/>
        <charset val="1"/>
      </rPr>
      <t xml:space="preserve">OP:5 / SV:1</t>
    </r>
  </si>
  <si>
    <r>
      <rPr>
        <sz val="8"/>
        <color rgb="FFC00000"/>
        <rFont val="Arial"/>
        <family val="0"/>
        <charset val="1"/>
      </rPr>
      <t xml:space="preserve">201060000063
202060003171
202360003315
202560000773</t>
    </r>
    <r>
      <rPr>
        <sz val="8"/>
        <color rgb="FFC00000"/>
        <rFont val="Noto Sans CJK SC"/>
        <family val="2"/>
      </rPr>
      <t xml:space="preserve">（データ送付待ち）
</t>
    </r>
    <r>
      <rPr>
        <sz val="8"/>
        <color rgb="FFC00000"/>
        <rFont val="Arial"/>
        <family val="0"/>
        <charset val="1"/>
      </rPr>
      <t xml:space="preserve">202660000868</t>
    </r>
    <r>
      <rPr>
        <sz val="8"/>
        <color rgb="FFC00000"/>
        <rFont val="Noto Sans CJK SC"/>
        <family val="2"/>
      </rPr>
      <t xml:space="preserve">（添待ち、</t>
    </r>
    <r>
      <rPr>
        <sz val="8"/>
        <color rgb="FFC00000"/>
        <rFont val="Arial"/>
        <family val="0"/>
        <charset val="1"/>
      </rPr>
      <t xml:space="preserve">SV</t>
    </r>
    <r>
      <rPr>
        <sz val="8"/>
        <color rgb="FFC00000"/>
        <rFont val="Noto Sans CJK SC"/>
        <family val="2"/>
      </rPr>
      <t xml:space="preserve">）
</t>
    </r>
    <r>
      <rPr>
        <sz val="8"/>
        <color rgb="FFC00000"/>
        <rFont val="Arial"/>
        <family val="0"/>
        <charset val="1"/>
      </rPr>
      <t xml:space="preserve">202660001260</t>
    </r>
  </si>
  <si>
    <r>
      <rPr>
        <sz val="8"/>
        <color rgb="FF000000"/>
        <rFont val="Arial"/>
        <family val="0"/>
        <charset val="1"/>
      </rPr>
      <t xml:space="preserve">3</t>
    </r>
    <r>
      <rPr>
        <sz val="8"/>
        <color rgb="FF000000"/>
        <rFont val="Noto Sans CJK SC"/>
        <family val="2"/>
      </rPr>
      <t xml:space="preserve">件
確認待</t>
    </r>
    <r>
      <rPr>
        <sz val="8"/>
        <color rgb="FF000000"/>
        <rFont val="Arial"/>
        <family val="0"/>
        <charset val="1"/>
      </rPr>
      <t xml:space="preserve">:1 / </t>
    </r>
    <r>
      <rPr>
        <sz val="8"/>
        <color rgb="FF000000"/>
        <rFont val="Noto Sans CJK SC"/>
        <family val="2"/>
      </rPr>
      <t xml:space="preserve">受付</t>
    </r>
    <r>
      <rPr>
        <sz val="8"/>
        <color rgb="FF000000"/>
        <rFont val="Arial"/>
        <family val="0"/>
        <charset val="1"/>
      </rPr>
      <t xml:space="preserve">:2</t>
    </r>
  </si>
  <si>
    <r>
      <rPr>
        <sz val="8"/>
        <color rgb="FF000000"/>
        <rFont val="Arial"/>
        <family val="0"/>
        <charset val="1"/>
      </rPr>
      <t xml:space="preserve">202660001386
202660001400
202660001419</t>
    </r>
    <r>
      <rPr>
        <sz val="8"/>
        <color rgb="FF000000"/>
        <rFont val="Noto Sans CJK SC"/>
        <family val="2"/>
      </rPr>
      <t xml:space="preserve">（発信）</t>
    </r>
  </si>
  <si>
    <r>
      <rPr>
        <b val="true"/>
        <sz val="8"/>
        <color rgb="FFC00000"/>
        <rFont val="Arial"/>
        <family val="0"/>
        <charset val="1"/>
      </rPr>
      <t xml:space="preserve">1</t>
    </r>
    <r>
      <rPr>
        <b val="true"/>
        <sz val="8"/>
        <color rgb="FFC00000"/>
        <rFont val="Noto Sans CJK SC"/>
        <family val="2"/>
      </rPr>
      <t xml:space="preserve">件
確認待</t>
    </r>
    <r>
      <rPr>
        <b val="true"/>
        <sz val="8"/>
        <color rgb="FFC00000"/>
        <rFont val="Arial"/>
        <family val="0"/>
        <charset val="1"/>
      </rPr>
      <t xml:space="preserve">:1</t>
    </r>
  </si>
  <si>
    <r>
      <rPr>
        <sz val="8"/>
        <color rgb="FFC00000"/>
        <rFont val="Arial"/>
        <family val="0"/>
        <charset val="1"/>
      </rPr>
      <t xml:space="preserve">202660000028</t>
    </r>
    <r>
      <rPr>
        <sz val="8"/>
        <color rgb="FFC00000"/>
        <rFont val="Noto Sans CJK SC"/>
        <family val="2"/>
      </rPr>
      <t xml:space="preserve">（発信）</t>
    </r>
  </si>
  <si>
    <r>
      <rPr>
        <sz val="9"/>
        <color rgb="FF000000"/>
        <rFont val="Arial"/>
        <family val="0"/>
        <charset val="1"/>
      </rPr>
      <t xml:space="preserve">51 </t>
    </r>
    <r>
      <rPr>
        <sz val="9"/>
        <color rgb="FF000000"/>
        <rFont val="Noto Sans CJK SC"/>
        <family val="2"/>
      </rPr>
      <t xml:space="preserve">収入限度額以上</t>
    </r>
  </si>
  <si>
    <t xml:space="preserve">202660001542</t>
  </si>
  <si>
    <r>
      <rPr>
        <sz val="8"/>
        <color rgb="FF000000"/>
        <rFont val="Arial"/>
        <family val="0"/>
        <charset val="1"/>
      </rPr>
      <t xml:space="preserve">3</t>
    </r>
    <r>
      <rPr>
        <sz val="8"/>
        <color rgb="FF000000"/>
        <rFont val="Noto Sans CJK SC"/>
        <family val="2"/>
      </rPr>
      <t xml:space="preserve">件
</t>
    </r>
    <r>
      <rPr>
        <sz val="8"/>
        <color rgb="FF000000"/>
        <rFont val="Arial"/>
        <family val="0"/>
        <charset val="1"/>
      </rPr>
      <t xml:space="preserve">OP:1 / </t>
    </r>
    <r>
      <rPr>
        <sz val="8"/>
        <color rgb="FF000000"/>
        <rFont val="Noto Sans CJK SC"/>
        <family val="2"/>
      </rPr>
      <t xml:space="preserve">差戻</t>
    </r>
    <r>
      <rPr>
        <sz val="8"/>
        <color rgb="FF000000"/>
        <rFont val="Arial"/>
        <family val="0"/>
        <charset val="1"/>
      </rPr>
      <t xml:space="preserve">:2</t>
    </r>
  </si>
  <si>
    <r>
      <rPr>
        <sz val="8"/>
        <color rgb="FF000000"/>
        <rFont val="Arial"/>
        <family val="0"/>
        <charset val="1"/>
      </rPr>
      <t xml:space="preserve">202660001355</t>
    </r>
    <r>
      <rPr>
        <sz val="8"/>
        <color rgb="FF000000"/>
        <rFont val="Noto Sans CJK SC"/>
        <family val="2"/>
      </rPr>
      <t xml:space="preserve">（削除）
</t>
    </r>
    <r>
      <rPr>
        <sz val="8"/>
        <color rgb="FF000000"/>
        <rFont val="Arial"/>
        <family val="0"/>
        <charset val="1"/>
      </rPr>
      <t xml:space="preserve">202660001378</t>
    </r>
    <r>
      <rPr>
        <sz val="8"/>
        <color rgb="FF000000"/>
        <rFont val="Noto Sans CJK SC"/>
        <family val="2"/>
      </rPr>
      <t xml:space="preserve">（削除）
</t>
    </r>
    <r>
      <rPr>
        <sz val="8"/>
        <color rgb="FF000000"/>
        <rFont val="Arial"/>
        <family val="0"/>
        <charset val="1"/>
      </rPr>
      <t xml:space="preserve">202660001416</t>
    </r>
  </si>
  <si>
    <r>
      <rPr>
        <b val="true"/>
        <sz val="8"/>
        <color rgb="FF000000"/>
        <rFont val="Arial"/>
        <family val="0"/>
        <charset val="1"/>
      </rPr>
      <t xml:space="preserve">2</t>
    </r>
    <r>
      <rPr>
        <b val="true"/>
        <sz val="8"/>
        <color rgb="FF000000"/>
        <rFont val="Noto Sans CJK SC"/>
        <family val="2"/>
      </rPr>
      <t xml:space="preserve">件
確認待</t>
    </r>
    <r>
      <rPr>
        <b val="true"/>
        <sz val="8"/>
        <color rgb="FF000000"/>
        <rFont val="Arial"/>
        <family val="0"/>
        <charset val="1"/>
      </rPr>
      <t xml:space="preserve">:1 / OP:1</t>
    </r>
  </si>
  <si>
    <r>
      <rPr>
        <sz val="8"/>
        <color rgb="FF000000"/>
        <rFont val="Arial"/>
        <family val="0"/>
        <charset val="1"/>
      </rPr>
      <t xml:space="preserve">202660001320
202660001341</t>
    </r>
    <r>
      <rPr>
        <sz val="8"/>
        <color rgb="FF000000"/>
        <rFont val="Noto Sans CJK SC"/>
        <family val="2"/>
      </rPr>
      <t xml:space="preserve">（添待ち）</t>
    </r>
  </si>
  <si>
    <r>
      <rPr>
        <b val="true"/>
        <sz val="8"/>
        <color rgb="FFC00000"/>
        <rFont val="Arial"/>
        <family val="0"/>
        <charset val="1"/>
      </rPr>
      <t xml:space="preserve">8</t>
    </r>
    <r>
      <rPr>
        <b val="true"/>
        <sz val="8"/>
        <color rgb="FFC00000"/>
        <rFont val="Noto Sans CJK SC"/>
        <family val="2"/>
      </rPr>
      <t xml:space="preserve">件
</t>
    </r>
    <r>
      <rPr>
        <b val="true"/>
        <sz val="8"/>
        <color rgb="FFC00000"/>
        <rFont val="Arial"/>
        <family val="0"/>
        <charset val="1"/>
      </rPr>
      <t xml:space="preserve">OP:2 / SV:2 / </t>
    </r>
    <r>
      <rPr>
        <b val="true"/>
        <sz val="8"/>
        <color rgb="FFC00000"/>
        <rFont val="Noto Sans CJK SC"/>
        <family val="2"/>
      </rPr>
      <t xml:space="preserve">差戻</t>
    </r>
    <r>
      <rPr>
        <b val="true"/>
        <sz val="8"/>
        <color rgb="FFC00000"/>
        <rFont val="Arial"/>
        <family val="0"/>
        <charset val="1"/>
      </rPr>
      <t xml:space="preserve">:4</t>
    </r>
  </si>
  <si>
    <r>
      <rPr>
        <sz val="8"/>
        <color rgb="FFC00000"/>
        <rFont val="Arial"/>
        <family val="0"/>
        <charset val="1"/>
      </rPr>
      <t xml:space="preserve">202060002824</t>
    </r>
    <r>
      <rPr>
        <sz val="8"/>
        <color rgb="FFC00000"/>
        <rFont val="Noto Sans CJK SC"/>
        <family val="2"/>
      </rPr>
      <t xml:space="preserve">（削除）
</t>
    </r>
    <r>
      <rPr>
        <sz val="8"/>
        <color rgb="FFC00000"/>
        <rFont val="Arial"/>
        <family val="0"/>
        <charset val="1"/>
      </rPr>
      <t xml:space="preserve">202460003120</t>
    </r>
    <r>
      <rPr>
        <sz val="8"/>
        <color rgb="FFC00000"/>
        <rFont val="Noto Sans CJK SC"/>
        <family val="2"/>
      </rPr>
      <t xml:space="preserve">（</t>
    </r>
    <r>
      <rPr>
        <sz val="8"/>
        <color rgb="FFC00000"/>
        <rFont val="Arial"/>
        <family val="0"/>
        <charset val="1"/>
      </rPr>
      <t xml:space="preserve">SV</t>
    </r>
    <r>
      <rPr>
        <sz val="8"/>
        <color rgb="FFC00000"/>
        <rFont val="Noto Sans CJK SC"/>
        <family val="2"/>
      </rPr>
      <t xml:space="preserve">）
</t>
    </r>
    <r>
      <rPr>
        <sz val="8"/>
        <color rgb="FFC00000"/>
        <rFont val="Arial"/>
        <family val="0"/>
        <charset val="1"/>
      </rPr>
      <t xml:space="preserve">202560000309</t>
    </r>
    <r>
      <rPr>
        <sz val="8"/>
        <color rgb="FFC00000"/>
        <rFont val="Noto Sans CJK SC"/>
        <family val="2"/>
      </rPr>
      <t xml:space="preserve">（</t>
    </r>
    <r>
      <rPr>
        <sz val="8"/>
        <color rgb="FFC00000"/>
        <rFont val="Arial"/>
        <family val="0"/>
        <charset val="1"/>
      </rPr>
      <t xml:space="preserve">SV</t>
    </r>
    <r>
      <rPr>
        <sz val="8"/>
        <color rgb="FFC00000"/>
        <rFont val="Noto Sans CJK SC"/>
        <family val="2"/>
      </rPr>
      <t xml:space="preserve">）
</t>
    </r>
    <r>
      <rPr>
        <sz val="8"/>
        <color rgb="FFC00000"/>
        <rFont val="Arial"/>
        <family val="0"/>
        <charset val="1"/>
      </rPr>
      <t xml:space="preserve">202660000574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202660000643</t>
    </r>
    <r>
      <rPr>
        <sz val="8"/>
        <color rgb="FFC00000"/>
        <rFont val="Noto Sans CJK SC"/>
        <family val="2"/>
      </rPr>
      <t xml:space="preserve">（</t>
    </r>
    <r>
      <rPr>
        <sz val="8"/>
        <color rgb="FFC00000"/>
        <rFont val="Arial"/>
        <family val="0"/>
        <charset val="1"/>
      </rPr>
      <t xml:space="preserve">SV</t>
    </r>
    <r>
      <rPr>
        <sz val="8"/>
        <color rgb="FFC00000"/>
        <rFont val="Noto Sans CJK SC"/>
        <family val="2"/>
      </rPr>
      <t xml:space="preserve">）
</t>
    </r>
    <r>
      <rPr>
        <sz val="8"/>
        <color rgb="FFC00000"/>
        <rFont val="Arial"/>
        <family val="0"/>
        <charset val="1"/>
      </rPr>
      <t xml:space="preserve">202660001066</t>
    </r>
    <r>
      <rPr>
        <sz val="8"/>
        <color rgb="FFC00000"/>
        <rFont val="Noto Sans CJK SC"/>
        <family val="2"/>
      </rPr>
      <t xml:space="preserve">（添待ち、</t>
    </r>
    <r>
      <rPr>
        <sz val="8"/>
        <color rgb="FFC00000"/>
        <rFont val="Arial"/>
        <family val="0"/>
        <charset val="1"/>
      </rPr>
      <t xml:space="preserve">SV</t>
    </r>
    <r>
      <rPr>
        <sz val="8"/>
        <color rgb="FFC00000"/>
        <rFont val="Noto Sans CJK SC"/>
        <family val="2"/>
      </rPr>
      <t xml:space="preserve">）
</t>
    </r>
    <r>
      <rPr>
        <sz val="8"/>
        <color rgb="FFC00000"/>
        <rFont val="Arial"/>
        <family val="0"/>
        <charset val="1"/>
      </rPr>
      <t xml:space="preserve">202660001086</t>
    </r>
    <r>
      <rPr>
        <sz val="8"/>
        <color rgb="FFC00000"/>
        <rFont val="Noto Sans CJK SC"/>
        <family val="2"/>
      </rPr>
      <t xml:space="preserve">（削除）
</t>
    </r>
    <r>
      <rPr>
        <sz val="8"/>
        <color rgb="FFC00000"/>
        <rFont val="Arial"/>
        <family val="0"/>
        <charset val="1"/>
      </rPr>
      <t xml:space="preserve">202660001125</t>
    </r>
    <r>
      <rPr>
        <sz val="8"/>
        <color rgb="FFC00000"/>
        <rFont val="Noto Sans CJK SC"/>
        <family val="2"/>
      </rPr>
      <t xml:space="preserve">（削除）</t>
    </r>
  </si>
  <si>
    <r>
      <rPr>
        <sz val="8"/>
        <color rgb="FF000000"/>
        <rFont val="Arial"/>
        <family val="0"/>
        <charset val="1"/>
      </rPr>
      <t xml:space="preserve">6</t>
    </r>
    <r>
      <rPr>
        <sz val="8"/>
        <color rgb="FF000000"/>
        <rFont val="Noto Sans CJK SC"/>
        <family val="2"/>
      </rPr>
      <t xml:space="preserve">件
確認待</t>
    </r>
    <r>
      <rPr>
        <sz val="8"/>
        <color rgb="FF000000"/>
        <rFont val="Arial"/>
        <family val="0"/>
        <charset val="1"/>
      </rPr>
      <t xml:space="preserve">:1 / </t>
    </r>
    <r>
      <rPr>
        <sz val="8"/>
        <color rgb="FF000000"/>
        <rFont val="Noto Sans CJK SC"/>
        <family val="2"/>
      </rPr>
      <t xml:space="preserve">受付</t>
    </r>
    <r>
      <rPr>
        <sz val="8"/>
        <color rgb="FF000000"/>
        <rFont val="Arial"/>
        <family val="0"/>
        <charset val="1"/>
      </rPr>
      <t xml:space="preserve">:5</t>
    </r>
  </si>
  <si>
    <t xml:space="preserve">202660001455
202660001470
202660001479
202660001494
202660001507
202660001515</t>
  </si>
  <si>
    <t xml:space="preserve">202660001390
202660001404
202660001445
202660001447
202660001452</t>
  </si>
  <si>
    <r>
      <rPr>
        <b val="true"/>
        <sz val="8"/>
        <color rgb="FF000000"/>
        <rFont val="Arial"/>
        <family val="0"/>
        <charset val="1"/>
      </rPr>
      <t xml:space="preserve">1</t>
    </r>
    <r>
      <rPr>
        <b val="true"/>
        <sz val="8"/>
        <color rgb="FF000000"/>
        <rFont val="Noto Sans CJK SC"/>
        <family val="2"/>
      </rPr>
      <t xml:space="preserve">件
受付</t>
    </r>
    <r>
      <rPr>
        <b val="true"/>
        <sz val="8"/>
        <color rgb="FF000000"/>
        <rFont val="Arial"/>
        <family val="0"/>
        <charset val="1"/>
      </rPr>
      <t xml:space="preserve">:1</t>
    </r>
  </si>
  <si>
    <t xml:space="preserve">202660001267</t>
  </si>
  <si>
    <r>
      <rPr>
        <sz val="8"/>
        <color rgb="FFC00000"/>
        <rFont val="Arial"/>
        <family val="0"/>
        <charset val="1"/>
      </rPr>
      <t xml:space="preserve">202660001236</t>
    </r>
    <r>
      <rPr>
        <sz val="8"/>
        <color rgb="FFC00000"/>
        <rFont val="Noto Sans CJK SC"/>
        <family val="2"/>
      </rPr>
      <t xml:space="preserve">（添待ち）
</t>
    </r>
    <r>
      <rPr>
        <sz val="8"/>
        <color rgb="FFC00000"/>
        <rFont val="Arial"/>
        <family val="0"/>
        <charset val="1"/>
      </rPr>
      <t xml:space="preserve">202660001265</t>
    </r>
  </si>
  <si>
    <r>
      <rPr>
        <sz val="9"/>
        <color rgb="FF000000"/>
        <rFont val="Arial"/>
        <family val="0"/>
        <charset val="1"/>
      </rPr>
      <t xml:space="preserve">54 </t>
    </r>
    <r>
      <rPr>
        <sz val="9"/>
        <color rgb="FF000000"/>
        <rFont val="Noto Sans CJK SC"/>
        <family val="2"/>
      </rPr>
      <t xml:space="preserve">別居</t>
    </r>
  </si>
  <si>
    <t xml:space="preserve">202660001249</t>
  </si>
  <si>
    <t xml:space="preserve">202660001344</t>
  </si>
  <si>
    <r>
      <rPr>
        <sz val="8"/>
        <color rgb="FFC00000"/>
        <rFont val="Arial"/>
        <family val="0"/>
        <charset val="1"/>
      </rPr>
      <t xml:space="preserve">202560003091</t>
    </r>
    <r>
      <rPr>
        <sz val="8"/>
        <color rgb="FFC00000"/>
        <rFont val="Noto Sans CJK SC"/>
        <family val="2"/>
      </rPr>
      <t xml:space="preserve">（</t>
    </r>
    <r>
      <rPr>
        <sz val="8"/>
        <color rgb="FFC00000"/>
        <rFont val="Arial"/>
        <family val="0"/>
        <charset val="1"/>
      </rPr>
      <t xml:space="preserve">SV</t>
    </r>
    <r>
      <rPr>
        <sz val="8"/>
        <color rgb="FFC00000"/>
        <rFont val="Noto Sans CJK SC"/>
        <family val="2"/>
      </rPr>
      <t xml:space="preserve">）</t>
    </r>
  </si>
  <si>
    <r>
      <rPr>
        <sz val="9"/>
        <color rgb="FF000000"/>
        <rFont val="Arial"/>
        <family val="0"/>
        <charset val="1"/>
      </rPr>
      <t xml:space="preserve">98 </t>
    </r>
    <r>
      <rPr>
        <sz val="9"/>
        <color rgb="FF000000"/>
        <rFont val="Noto Sans CJK SC"/>
        <family val="2"/>
      </rPr>
      <t xml:space="preserve">年金支給に係る変更</t>
    </r>
  </si>
  <si>
    <t xml:space="preserve">202460002704</t>
  </si>
  <si>
    <r>
      <rPr>
        <sz val="8"/>
        <color rgb="FF767676"/>
        <rFont val="Noto Sans CJK SC"/>
        <family val="2"/>
      </rPr>
      <t xml:space="preserve">※ 件数は申請受付番号単位（同一番号の最下行を使用）。経過日数＝</t>
    </r>
    <r>
      <rPr>
        <sz val="8"/>
        <color rgb="FF767676"/>
        <rFont val="Arial"/>
        <family val="0"/>
        <charset val="1"/>
      </rPr>
      <t xml:space="preserve">TODAY()</t>
    </r>
    <r>
      <rPr>
        <sz val="8"/>
        <color rgb="FF767676"/>
        <rFont val="Noto Sans CJK SC"/>
        <family val="2"/>
      </rPr>
      <t xml:space="preserve">－申請日。確認済・送付中は集計対象外。ハイライトは申請日から</t>
    </r>
    <r>
      <rPr>
        <sz val="8"/>
        <color rgb="FF767676"/>
        <rFont val="Arial"/>
        <family val="0"/>
        <charset val="1"/>
      </rPr>
      <t xml:space="preserve">15</t>
    </r>
    <r>
      <rPr>
        <sz val="8"/>
        <color rgb="FF767676"/>
        <rFont val="Noto Sans CJK SC"/>
        <family val="2"/>
      </rPr>
      <t xml:space="preserve">日以上の案件のみ。申請番号欄のカッコ内はフラグ（添待ち／住民票／発信／確認事項／管／</t>
    </r>
    <r>
      <rPr>
        <sz val="8"/>
        <color rgb="FF767676"/>
        <rFont val="Arial"/>
        <family val="0"/>
        <charset val="1"/>
      </rPr>
      <t xml:space="preserve">SV</t>
    </r>
    <r>
      <rPr>
        <sz val="8"/>
        <color rgb="FF767676"/>
        <rFont val="Noto Sans CJK SC"/>
        <family val="2"/>
      </rPr>
      <t xml:space="preserve">／データ送付待ち／削除）。</t>
    </r>
  </si>
  <si>
    <r>
      <rPr>
        <b val="true"/>
        <sz val="13"/>
        <color rgb="FFFFFFFF"/>
        <rFont val="Arial"/>
        <family val="0"/>
        <charset val="1"/>
      </rPr>
      <t xml:space="preserve">VBA</t>
    </r>
    <r>
      <rPr>
        <b val="true"/>
        <sz val="13"/>
        <color rgb="FFFFFFFF"/>
        <rFont val="Noto Sans CJK SC"/>
        <family val="2"/>
      </rPr>
      <t xml:space="preserve">コード　― 元データ一括クリア ―　設定手順</t>
    </r>
  </si>
  <si>
    <r>
      <rPr>
        <sz val="9"/>
        <color rgb="FF1F3864"/>
        <rFont val="Noto Sans CJK SC"/>
        <family val="2"/>
      </rPr>
      <t xml:space="preserve">手順①　</t>
    </r>
    <r>
      <rPr>
        <sz val="9"/>
        <color rgb="FF1F3864"/>
        <rFont val="Arial"/>
        <family val="0"/>
        <charset val="1"/>
      </rPr>
      <t xml:space="preserve">Excel</t>
    </r>
    <r>
      <rPr>
        <sz val="9"/>
        <color rgb="FF1F3864"/>
        <rFont val="Noto Sans CJK SC"/>
        <family val="2"/>
      </rPr>
      <t xml:space="preserve">でこのファイルを開いた状態で </t>
    </r>
    <r>
      <rPr>
        <sz val="9"/>
        <color rgb="FF1F3864"/>
        <rFont val="Arial"/>
        <family val="0"/>
        <charset val="1"/>
      </rPr>
      <t xml:space="preserve">Alt+F11 </t>
    </r>
    <r>
      <rPr>
        <sz val="9"/>
        <color rgb="FF1F3864"/>
        <rFont val="Noto Sans CJK SC"/>
        <family val="2"/>
      </rPr>
      <t xml:space="preserve">を押す（</t>
    </r>
    <r>
      <rPr>
        <sz val="9"/>
        <color rgb="FF1F3864"/>
        <rFont val="Arial"/>
        <family val="0"/>
        <charset val="1"/>
      </rPr>
      <t xml:space="preserve">VBA</t>
    </r>
    <r>
      <rPr>
        <sz val="9"/>
        <color rgb="FF1F3864"/>
        <rFont val="Noto Sans CJK SC"/>
        <family val="2"/>
      </rPr>
      <t xml:space="preserve">エディタが開く）</t>
    </r>
  </si>
  <si>
    <t xml:space="preserve">手順②　メニューバーの「挿入」→「標準モジュール」をクリック</t>
  </si>
  <si>
    <t xml:space="preserve">手順③　下のコードをすべてコピーして貼り付ける</t>
  </si>
  <si>
    <r>
      <rPr>
        <sz val="9"/>
        <color rgb="FF1F3864"/>
        <rFont val="Noto Sans CJK SC"/>
        <family val="2"/>
      </rPr>
      <t xml:space="preserve">手順④　</t>
    </r>
    <r>
      <rPr>
        <sz val="9"/>
        <color rgb="FF1F3864"/>
        <rFont val="Arial"/>
        <family val="0"/>
        <charset val="1"/>
      </rPr>
      <t xml:space="preserve">Ctrl+S </t>
    </r>
    <r>
      <rPr>
        <sz val="9"/>
        <color rgb="FF1F3864"/>
        <rFont val="Noto Sans CJK SC"/>
        <family val="2"/>
      </rPr>
      <t xml:space="preserve">で保存（「マクロが含まれています」と表示されたら「はい」を選択）</t>
    </r>
  </si>
  <si>
    <r>
      <rPr>
        <sz val="9"/>
        <color rgb="FF1F3864"/>
        <rFont val="Noto Sans CJK SC"/>
        <family val="2"/>
      </rPr>
      <t xml:space="preserve">手順⑤　</t>
    </r>
    <r>
      <rPr>
        <sz val="9"/>
        <color rgb="FF1F3864"/>
        <rFont val="Arial"/>
        <family val="0"/>
        <charset val="1"/>
      </rPr>
      <t xml:space="preserve">VBA</t>
    </r>
    <r>
      <rPr>
        <sz val="9"/>
        <color rgb="FF1F3864"/>
        <rFont val="Noto Sans CJK SC"/>
        <family val="2"/>
      </rPr>
      <t xml:space="preserve">エディタを閉じて「ダッシュボード」シートに戻る</t>
    </r>
  </si>
  <si>
    <r>
      <rPr>
        <b val="true"/>
        <sz val="9"/>
        <color rgb="FFC00000"/>
        <rFont val="Noto Sans CJK SC"/>
        <family val="2"/>
      </rPr>
      <t xml:space="preserve">手順⑥　赤いセル「⬛ 元データ一括クリア」を右クリック → 「マクロの登録」→「</t>
    </r>
    <r>
      <rPr>
        <b val="true"/>
        <sz val="9"/>
        <color rgb="FFC00000"/>
        <rFont val="Arial"/>
        <family val="0"/>
        <charset val="1"/>
      </rPr>
      <t xml:space="preserve">ClearData</t>
    </r>
    <r>
      <rPr>
        <b val="true"/>
        <sz val="9"/>
        <color rgb="FFC00000"/>
        <rFont val="Noto Sans CJK SC"/>
        <family val="2"/>
      </rPr>
      <t xml:space="preserve">」を選択 → </t>
    </r>
    <r>
      <rPr>
        <b val="true"/>
        <sz val="9"/>
        <color rgb="FFC00000"/>
        <rFont val="Arial"/>
        <family val="0"/>
        <charset val="1"/>
      </rPr>
      <t xml:space="preserve">OK</t>
    </r>
  </si>
  <si>
    <r>
      <rPr>
        <b val="true"/>
        <sz val="10"/>
        <color rgb="FFC00000"/>
        <rFont val="Noto Sans CJK SC"/>
        <family val="2"/>
      </rPr>
      <t xml:space="preserve">▼ コード（下記をすべてコピーして</t>
    </r>
    <r>
      <rPr>
        <b val="true"/>
        <sz val="10"/>
        <color rgb="FFC00000"/>
        <rFont val="Arial"/>
        <family val="0"/>
        <charset val="1"/>
      </rPr>
      <t xml:space="preserve">VBA</t>
    </r>
    <r>
      <rPr>
        <b val="true"/>
        <sz val="10"/>
        <color rgb="FFC00000"/>
        <rFont val="Noto Sans CJK SC"/>
        <family val="2"/>
      </rPr>
      <t xml:space="preserve">エディタに貼り付ける）</t>
    </r>
  </si>
  <si>
    <t xml:space="preserve">Sub ClearData()</t>
  </si>
  <si>
    <t xml:space="preserve">    Dim ws As Worksheet</t>
  </si>
  <si>
    <t xml:space="preserve">    Dim lastRow As Long</t>
  </si>
  <si>
    <r>
      <rPr>
        <sz val="9"/>
        <color rgb="FF000000"/>
        <rFont val="Courier New"/>
        <family val="0"/>
        <charset val="1"/>
      </rPr>
      <t xml:space="preserve">    Set ws = ThisWorkbook.Sheets("</t>
    </r>
    <r>
      <rPr>
        <sz val="9"/>
        <color rgb="FF000000"/>
        <rFont val="Noto Sans CJK SC"/>
        <family val="2"/>
      </rPr>
      <t xml:space="preserve">元データ</t>
    </r>
    <r>
      <rPr>
        <sz val="9"/>
        <color rgb="FF000000"/>
        <rFont val="Courier New"/>
        <family val="0"/>
        <charset val="1"/>
      </rPr>
      <t xml:space="preserve">")</t>
    </r>
  </si>
  <si>
    <t xml:space="preserve">    lastRow = ws.Cells(ws.Rows.Count, 1).End(xlUp).Row</t>
  </si>
  <si>
    <t xml:space="preserve">    If lastRow &lt; 2 Then</t>
  </si>
  <si>
    <r>
      <rPr>
        <sz val="9"/>
        <color rgb="FF000000"/>
        <rFont val="Courier New"/>
        <family val="0"/>
        <charset val="1"/>
      </rPr>
      <t xml:space="preserve">        MsgBox "</t>
    </r>
    <r>
      <rPr>
        <sz val="9"/>
        <color rgb="FF000000"/>
        <rFont val="Noto Sans CJK SC"/>
        <family val="2"/>
      </rPr>
      <t xml:space="preserve">削除するデータがありません。</t>
    </r>
    <r>
      <rPr>
        <sz val="9"/>
        <color rgb="FF000000"/>
        <rFont val="Courier New"/>
        <family val="0"/>
        <charset val="1"/>
      </rPr>
      <t xml:space="preserve">", vbInformation</t>
    </r>
  </si>
  <si>
    <t xml:space="preserve">        Exit Sub</t>
  </si>
  <si>
    <t xml:space="preserve">    End If</t>
  </si>
  <si>
    <t xml:space="preserve">    Dim ans As Integer</t>
  </si>
  <si>
    <r>
      <rPr>
        <sz val="9"/>
        <color rgb="FF000000"/>
        <rFont val="Courier New"/>
        <family val="0"/>
        <charset val="1"/>
      </rPr>
      <t xml:space="preserve">    ans = MsgBox("</t>
    </r>
    <r>
      <rPr>
        <sz val="9"/>
        <color rgb="FF000000"/>
        <rFont val="Noto Sans CJK SC"/>
        <family val="2"/>
      </rPr>
      <t xml:space="preserve">元データの</t>
    </r>
    <r>
      <rPr>
        <sz val="9"/>
        <color rgb="FF000000"/>
        <rFont val="Courier New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行目以降（</t>
    </r>
    <r>
      <rPr>
        <sz val="9"/>
        <color rgb="FF000000"/>
        <rFont val="Courier New"/>
        <family val="0"/>
        <charset val="1"/>
      </rPr>
      <t xml:space="preserve">" &amp; lastRow - 1 &amp; "</t>
    </r>
    <r>
      <rPr>
        <sz val="9"/>
        <color rgb="FF000000"/>
        <rFont val="Noto Sans CJK SC"/>
        <family val="2"/>
      </rPr>
      <t xml:space="preserve">行）を削除します。よろしいですか？</t>
    </r>
    <r>
      <rPr>
        <sz val="9"/>
        <color rgb="FF000000"/>
        <rFont val="Courier New"/>
        <family val="0"/>
        <charset val="1"/>
      </rPr>
      <t xml:space="preserve">", _</t>
    </r>
  </si>
  <si>
    <r>
      <rPr>
        <sz val="9"/>
        <color rgb="FF000000"/>
        <rFont val="Courier New"/>
        <family val="0"/>
        <charset val="1"/>
      </rPr>
      <t xml:space="preserve">                 vbYesNo + vbQuestion, "</t>
    </r>
    <r>
      <rPr>
        <sz val="9"/>
        <color rgb="FF000000"/>
        <rFont val="Noto Sans CJK SC"/>
        <family val="2"/>
      </rPr>
      <t xml:space="preserve">一括クリア確認</t>
    </r>
    <r>
      <rPr>
        <sz val="9"/>
        <color rgb="FF000000"/>
        <rFont val="Courier New"/>
        <family val="0"/>
        <charset val="1"/>
      </rPr>
      <t xml:space="preserve">")</t>
    </r>
  </si>
  <si>
    <t xml:space="preserve">    If ans = vbYes Then</t>
  </si>
  <si>
    <t xml:space="preserve">        ws.Range(ws.Cells(2, 1), ws.Cells(lastRow, 37)).ClearContents</t>
  </si>
  <si>
    <r>
      <rPr>
        <sz val="9"/>
        <color rgb="FF000000"/>
        <rFont val="Courier New"/>
        <family val="0"/>
        <charset val="1"/>
      </rPr>
      <t xml:space="preserve">        MsgBox "</t>
    </r>
    <r>
      <rPr>
        <sz val="9"/>
        <color rgb="FF000000"/>
        <rFont val="Noto Sans CJK SC"/>
        <family val="2"/>
      </rPr>
      <t xml:space="preserve">削除完了しました。新しいデータを貼り付けてください。</t>
    </r>
    <r>
      <rPr>
        <sz val="9"/>
        <color rgb="FF000000"/>
        <rFont val="Courier New"/>
        <family val="0"/>
        <charset val="1"/>
      </rPr>
      <t xml:space="preserve">", vbInformation</t>
    </r>
  </si>
  <si>
    <t xml:space="preserve">End Sub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</si>
</sst>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\ h:mm:ss"/>
    <numFmt numFmtId="166" formatCode="yyyy/mm/dd"/>
    <numFmt numFmtId="167" formatCode="General"/>
    <numFmt numFmtId="168" formatCode="&quot;基準日：&quot;yyyy/mm/dd"/>
    <numFmt numFmtId="169" formatCode="0&quot; 件&quot;"/>
    <numFmt numFmtId="170" formatCode="0;\-0;\-"/>
  </numFmts>
  <fonts count="4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b val="true"/>
      <sz val="8"/>
      <color rgb="FF7F6000"/>
      <name val="Noto Sans CJK SC"/>
      <family val="2"/>
    </font>
    <font>
      <sz val="8"/>
      <color rgb="FF000000"/>
      <name val="Arial"/>
      <family val="0"/>
      <charset val="1"/>
    </font>
    <font>
      <sz val="8"/>
      <color rgb="FF000000"/>
      <name val="Noto Sans CJK SC"/>
      <family val="2"/>
    </font>
    <font>
      <sz val="8"/>
      <color rgb="FF7F6000"/>
      <name val="Arial"/>
      <family val="0"/>
      <charset val="1"/>
    </font>
    <font>
      <b val="true"/>
      <sz val="15"/>
      <color rgb="FFFFFFFF"/>
      <name val="Noto Sans CJK SC"/>
      <family val="2"/>
    </font>
    <font>
      <sz val="10"/>
      <color rgb="FFFFFFFF"/>
      <name val="Arial"/>
      <family val="0"/>
      <charset val="1"/>
    </font>
    <font>
      <b val="true"/>
      <sz val="9"/>
      <color rgb="FF2E75B6"/>
      <name val="Noto Sans CJK SC"/>
      <family val="2"/>
    </font>
    <font>
      <b val="true"/>
      <sz val="9"/>
      <color rgb="FF1F3864"/>
      <name val="Noto Sans CJK SC"/>
      <family val="2"/>
    </font>
    <font>
      <sz val="9"/>
      <color rgb="FF000000"/>
      <name val="Noto Sans CJK SC"/>
      <family val="2"/>
    </font>
    <font>
      <sz val="9"/>
      <color rgb="FF000000"/>
      <name val="Arial"/>
      <family val="0"/>
      <charset val="1"/>
    </font>
    <font>
      <b val="true"/>
      <sz val="9"/>
      <color rgb="FFC00000"/>
      <name val="Noto Sans CJK SC"/>
      <family val="2"/>
    </font>
    <font>
      <sz val="9"/>
      <color rgb="FFC00000"/>
      <name val="Noto Sans CJK SC"/>
      <family val="2"/>
    </font>
    <font>
      <sz val="9"/>
      <color rgb="FFC0000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9"/>
      <color rgb="FF404040"/>
      <name val="Noto Sans CJK SC"/>
      <family val="2"/>
    </font>
    <font>
      <b val="true"/>
      <sz val="22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ED7D31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8"/>
      <color rgb="FFFFFFFF"/>
      <name val="Noto Sans CJK SC"/>
      <family val="2"/>
    </font>
    <font>
      <b val="true"/>
      <sz val="9"/>
      <color rgb="FF1F6B75"/>
      <name val="Noto Sans CJK SC"/>
      <family val="2"/>
    </font>
    <font>
      <b val="true"/>
      <sz val="9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8"/>
      <color rgb="FF000000"/>
      <name val="Noto Sans CJK SC"/>
      <family val="2"/>
    </font>
    <font>
      <b val="true"/>
      <sz val="8"/>
      <color rgb="FFC00000"/>
      <name val="Arial"/>
      <family val="0"/>
      <charset val="1"/>
    </font>
    <font>
      <b val="true"/>
      <sz val="8"/>
      <color rgb="FFC00000"/>
      <name val="Noto Sans CJK SC"/>
      <family val="2"/>
    </font>
    <font>
      <sz val="8"/>
      <color rgb="FFC00000"/>
      <name val="Arial"/>
      <family val="0"/>
      <charset val="1"/>
    </font>
    <font>
      <sz val="8"/>
      <color rgb="FFC00000"/>
      <name val="Noto Sans CJK SC"/>
      <family val="2"/>
    </font>
    <font>
      <sz val="9"/>
      <color rgb="FF404040"/>
      <name val="Noto Sans CJK SC"/>
      <family val="2"/>
    </font>
    <font>
      <sz val="8"/>
      <color rgb="FF767676"/>
      <name val="Noto Sans CJK SC"/>
      <family val="2"/>
    </font>
    <font>
      <sz val="8"/>
      <color rgb="FF76767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SC"/>
      <family val="2"/>
    </font>
    <font>
      <sz val="9"/>
      <color rgb="FF1F3864"/>
      <name val="Noto Sans CJK SC"/>
      <family val="2"/>
    </font>
    <font>
      <sz val="9"/>
      <color rgb="FF1F3864"/>
      <name val="Arial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  <font>
      <sz val="9"/>
      <color rgb="FF000000"/>
      <name val="Courier New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404040"/>
        <bgColor rgb="FF375623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2CC"/>
      </patternFill>
    </fill>
    <fill>
      <patternFill patternType="solid">
        <fgColor rgb="FF1F3864"/>
        <bgColor rgb="FF333399"/>
      </patternFill>
    </fill>
    <fill>
      <patternFill patternType="solid">
        <fgColor rgb="FFEEF4FB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EF4FB"/>
      </patternFill>
    </fill>
    <fill>
      <patternFill patternType="solid">
        <fgColor rgb="FF2E75B6"/>
        <bgColor rgb="FF1F6B75"/>
      </patternFill>
    </fill>
    <fill>
      <patternFill patternType="solid">
        <fgColor rgb="FFFFFFFF"/>
        <bgColor rgb="FFEEF4FB"/>
      </patternFill>
    </fill>
    <fill>
      <patternFill patternType="solid">
        <fgColor rgb="FFFFD966"/>
        <bgColor rgb="FFFFFF99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404040"/>
      </patternFill>
    </fill>
    <fill>
      <patternFill patternType="solid">
        <fgColor rgb="FF1F6B75"/>
        <bgColor rgb="FF008080"/>
      </patternFill>
    </fill>
    <fill>
      <patternFill patternType="solid">
        <fgColor rgb="FFE2EFDA"/>
        <bgColor rgb="FFD9EEF0"/>
      </patternFill>
    </fill>
    <fill>
      <patternFill patternType="solid">
        <fgColor rgb="FFD9EEF0"/>
        <bgColor rgb="FFE2EFDA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 diagonalUp="false" diagonalDown="false">
      <left style="thin">
        <color rgb="FFCCCC00"/>
      </left>
      <right style="thin">
        <color rgb="FFCCCC00"/>
      </right>
      <top style="thin">
        <color rgb="FFCCCC00"/>
      </top>
      <bottom style="thin">
        <color rgb="FFCCCC00"/>
      </bottom>
      <diagonal/>
    </border>
    <border diagonalUp="false" diagonalDown="false">
      <left style="thin">
        <color rgb="FFB8B8B8"/>
      </left>
      <right/>
      <top style="thin">
        <color rgb="FFB8B8B8"/>
      </top>
      <bottom style="thin">
        <color rgb="FFB8B8B8"/>
      </bottom>
      <diagonal/>
    </border>
    <border diagonalUp="false" diagonalDown="false"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 diagonalUp="false" diagonalDown="false">
      <left style="thin">
        <color rgb="FFCCAA00"/>
      </left>
      <right style="thin">
        <color rgb="FFCCAA00"/>
      </right>
      <top style="thin">
        <color rgb="FFCCAA00"/>
      </top>
      <bottom style="thin">
        <color rgb="FFCCAA00"/>
      </bottom>
      <diagonal/>
    </border>
    <border diagonalUp="false" diagonalDown="false">
      <left style="thin">
        <color rgb="FF70AD47"/>
      </left>
      <right style="thin">
        <color rgb="FF70AD47"/>
      </right>
      <top style="thin">
        <color rgb="FF70AD47"/>
      </top>
      <bottom style="medium">
        <color rgb="FF9E9E9E"/>
      </bottom>
      <diagonal/>
    </border>
    <border diagonalUp="false" diagonalDown="false">
      <left style="thin">
        <color rgb="FFB8B8B8"/>
      </left>
      <right style="thin">
        <color rgb="FFB8B8B8"/>
      </right>
      <top style="thin">
        <color rgb="FFB8B8B8"/>
      </top>
      <bottom style="medium">
        <color rgb="FF9E9E9E"/>
      </bottom>
      <diagonal/>
    </border>
    <border diagonalUp="false" diagonalDown="false">
      <left/>
      <right/>
      <top/>
      <bottom style="medium">
        <color rgb="FF9E9E9E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5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7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1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3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1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F6B75"/>
      <rgbColor rgb="FFB8B8B8"/>
      <rgbColor rgb="FF767676"/>
      <rgbColor rgb="FF9999FF"/>
      <rgbColor rgb="FF993366"/>
      <rgbColor rgb="FFFFF2CC"/>
      <rgbColor rgb="FFD9EE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E2EFDA"/>
      <rgbColor rgb="FFFFFF99"/>
      <rgbColor rgb="FFF2F2F2"/>
      <rgbColor rgb="FFFCE4D6"/>
      <rgbColor rgb="FFCC99FF"/>
      <rgbColor rgb="FFFFD966"/>
      <rgbColor rgb="FF2E75B6"/>
      <rgbColor rgb="FF33CCCC"/>
      <rgbColor rgb="FFCCCC00"/>
      <rgbColor rgb="FFFFCC00"/>
      <rgbColor rgb="FFCCAA00"/>
      <rgbColor rgb="FFED7D31"/>
      <rgbColor rgb="FF666699"/>
      <rgbColor rgb="FF9E9E9E"/>
      <rgbColor rgb="FF1F3864"/>
      <rgbColor rgb="FF70AD47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7" min="1" style="0" width="14"/>
    <col collapsed="false" customWidth="true" hidden="false" outlineLevel="0" max="41" min="38" style="0" width="1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customFormat="false" ht="15" hidden="false" customHeight="false" outlineLevel="0" collapsed="false">
      <c r="A2" s="3" t="n">
        <v>200860002045</v>
      </c>
      <c r="B2" s="3"/>
      <c r="C2" s="3"/>
      <c r="D2" s="3" t="n">
        <v>31</v>
      </c>
      <c r="E2" s="3" t="s">
        <v>41</v>
      </c>
      <c r="F2" s="3"/>
      <c r="G2" s="3"/>
      <c r="H2" s="4" t="n">
        <v>39904</v>
      </c>
      <c r="I2" s="5" t="n">
        <v>39898</v>
      </c>
      <c r="J2" s="4" t="n">
        <v>41984</v>
      </c>
      <c r="K2" s="4" t="n">
        <v>41984</v>
      </c>
      <c r="L2" s="3"/>
      <c r="M2" s="3"/>
      <c r="N2" s="3"/>
      <c r="O2" s="3" t="s">
        <v>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 t="n">
        <v>47</v>
      </c>
      <c r="AC2" s="3" t="n">
        <v>0</v>
      </c>
      <c r="AD2" s="6" t="s">
        <v>43</v>
      </c>
      <c r="AE2" s="3" t="s">
        <v>44</v>
      </c>
      <c r="AF2" s="6" t="s">
        <v>43</v>
      </c>
      <c r="AG2" s="6" t="s">
        <v>43</v>
      </c>
      <c r="AH2" s="6" t="s">
        <v>43</v>
      </c>
      <c r="AI2" s="3"/>
      <c r="AJ2" s="3"/>
      <c r="AK2" s="6" t="s">
        <v>45</v>
      </c>
      <c r="AL2" s="7" t="n">
        <f aca="false">IF(A2="","",IF(COUNTIF(A2:A$2001,A2)=1,1,0))</f>
        <v>1</v>
      </c>
      <c r="AM2" s="7" t="n">
        <f aca="true">IF(I2="","",TODAY()-I2)</f>
        <v>6392</v>
      </c>
      <c r="AN2" s="7" t="n">
        <f aca="false">IF(A2="","",IF(AND(E2&lt;&gt;"33 確認済",E2&lt;&gt;"36 送付中"),1,0))</f>
        <v>1</v>
      </c>
      <c r="AO2" s="7" t="n">
        <f aca="false">IF(A2="","",IF(AG2&lt;&gt;"",1,0))</f>
        <v>1</v>
      </c>
    </row>
    <row r="3" customFormat="false" ht="15" hidden="false" customHeight="false" outlineLevel="0" collapsed="false">
      <c r="A3" s="3" t="n">
        <v>200860002058</v>
      </c>
      <c r="B3" s="3"/>
      <c r="C3" s="3"/>
      <c r="D3" s="3" t="n">
        <v>31</v>
      </c>
      <c r="E3" s="3" t="s">
        <v>41</v>
      </c>
      <c r="F3" s="3"/>
      <c r="G3" s="3"/>
      <c r="H3" s="4" t="n">
        <v>39872</v>
      </c>
      <c r="I3" s="5" t="n">
        <v>39898</v>
      </c>
      <c r="J3" s="4" t="n">
        <v>41984</v>
      </c>
      <c r="K3" s="4" t="n">
        <v>41984</v>
      </c>
      <c r="L3" s="3"/>
      <c r="M3" s="3"/>
      <c r="N3" s="3"/>
      <c r="O3" s="3" t="s">
        <v>42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 t="n">
        <v>22</v>
      </c>
      <c r="AC3" s="3" t="n">
        <v>1</v>
      </c>
      <c r="AD3" s="6" t="s">
        <v>46</v>
      </c>
      <c r="AE3" s="3" t="s">
        <v>47</v>
      </c>
      <c r="AF3" s="3"/>
      <c r="AG3" s="6" t="s">
        <v>46</v>
      </c>
      <c r="AH3" s="3"/>
      <c r="AI3" s="3"/>
      <c r="AJ3" s="3"/>
      <c r="AK3" s="6" t="s">
        <v>48</v>
      </c>
      <c r="AL3" s="7" t="n">
        <f aca="false">IF(A3="","",IF(COUNTIF(A3:A$2001,A3)=1,1,0))</f>
        <v>1</v>
      </c>
      <c r="AM3" s="7" t="n">
        <f aca="true">IF(I3="","",TODAY()-I3)</f>
        <v>6392</v>
      </c>
      <c r="AN3" s="7" t="n">
        <f aca="false">IF(A3="","",IF(AND(E3&lt;&gt;"33 確認済",E3&lt;&gt;"36 送付中"),1,0))</f>
        <v>1</v>
      </c>
      <c r="AO3" s="7" t="n">
        <f aca="false">IF(A3="","",IF(AG3&lt;&gt;"",1,0))</f>
        <v>1</v>
      </c>
    </row>
    <row r="4" customFormat="false" ht="15" hidden="false" customHeight="false" outlineLevel="0" collapsed="false">
      <c r="A4" s="3" t="n">
        <v>200960002795</v>
      </c>
      <c r="B4" s="3"/>
      <c r="C4" s="3"/>
      <c r="D4" s="3" t="n">
        <v>40</v>
      </c>
      <c r="E4" s="3" t="s">
        <v>49</v>
      </c>
      <c r="F4" s="3" t="n">
        <v>20</v>
      </c>
      <c r="G4" s="3" t="s">
        <v>50</v>
      </c>
      <c r="H4" s="4" t="n">
        <v>30829</v>
      </c>
      <c r="I4" s="5" t="n">
        <v>40233</v>
      </c>
      <c r="J4" s="4" t="n">
        <v>40234</v>
      </c>
      <c r="K4" s="4" t="n">
        <v>40238</v>
      </c>
      <c r="L4" s="3"/>
      <c r="M4" s="3"/>
      <c r="N4" s="3"/>
      <c r="O4" s="3" t="s">
        <v>51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 t="n">
        <v>23</v>
      </c>
      <c r="AC4" s="3" t="n">
        <v>1</v>
      </c>
      <c r="AD4" s="6" t="s">
        <v>46</v>
      </c>
      <c r="AE4" s="3" t="s">
        <v>52</v>
      </c>
      <c r="AF4" s="3"/>
      <c r="AG4" s="3"/>
      <c r="AH4" s="3"/>
      <c r="AI4" s="3"/>
      <c r="AJ4" s="3"/>
      <c r="AK4" s="3"/>
      <c r="AL4" s="7" t="n">
        <f aca="false">IF(A4="","",IF(COUNTIF(A4:A$2001,A4)=1,1,0))</f>
        <v>0</v>
      </c>
      <c r="AM4" s="7" t="n">
        <f aca="true">IF(I4="","",TODAY()-I4)</f>
        <v>6057</v>
      </c>
      <c r="AN4" s="7" t="n">
        <f aca="false">IF(A4="","",IF(AND(E4&lt;&gt;"33 確認済",E4&lt;&gt;"36 送付中"),1,0))</f>
        <v>1</v>
      </c>
      <c r="AO4" s="7" t="n">
        <f aca="false">IF(A4="","",IF(AG4&lt;&gt;"",1,0))</f>
        <v>0</v>
      </c>
    </row>
    <row r="5" customFormat="false" ht="15" hidden="false" customHeight="false" outlineLevel="0" collapsed="false">
      <c r="A5" s="3" t="n">
        <v>200960002795</v>
      </c>
      <c r="B5" s="3"/>
      <c r="C5" s="3"/>
      <c r="D5" s="3" t="n">
        <v>40</v>
      </c>
      <c r="E5" s="3" t="s">
        <v>49</v>
      </c>
      <c r="F5" s="3" t="n">
        <v>20</v>
      </c>
      <c r="G5" s="3" t="s">
        <v>50</v>
      </c>
      <c r="H5" s="4" t="n">
        <v>30829</v>
      </c>
      <c r="I5" s="5" t="n">
        <v>40233</v>
      </c>
      <c r="J5" s="4" t="n">
        <v>40234</v>
      </c>
      <c r="K5" s="4" t="n">
        <v>40238</v>
      </c>
      <c r="L5" s="3"/>
      <c r="M5" s="3"/>
      <c r="N5" s="3"/>
      <c r="O5" s="3" t="s">
        <v>51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 t="n">
        <v>23</v>
      </c>
      <c r="AC5" s="3" t="n">
        <v>1</v>
      </c>
      <c r="AD5" s="6" t="s">
        <v>46</v>
      </c>
      <c r="AE5" s="3" t="s">
        <v>53</v>
      </c>
      <c r="AF5" s="3"/>
      <c r="AG5" s="3"/>
      <c r="AH5" s="3"/>
      <c r="AI5" s="3"/>
      <c r="AJ5" s="3"/>
      <c r="AK5" s="3"/>
      <c r="AL5" s="7" t="n">
        <f aca="false">IF(A5="","",IF(COUNTIF(A5:A$2001,A5)=1,1,0))</f>
        <v>1</v>
      </c>
      <c r="AM5" s="7" t="n">
        <f aca="true">IF(I5="","",TODAY()-I5)</f>
        <v>6057</v>
      </c>
      <c r="AN5" s="7" t="n">
        <f aca="false">IF(A5="","",IF(AND(E5&lt;&gt;"33 確認済",E5&lt;&gt;"36 送付中"),1,0))</f>
        <v>1</v>
      </c>
      <c r="AO5" s="7" t="n">
        <f aca="false">IF(A5="","",IF(AG5&lt;&gt;"",1,0))</f>
        <v>0</v>
      </c>
    </row>
    <row r="6" customFormat="false" ht="15" hidden="false" customHeight="false" outlineLevel="0" collapsed="false">
      <c r="A6" s="3" t="n">
        <v>200960002929</v>
      </c>
      <c r="B6" s="3"/>
      <c r="C6" s="3"/>
      <c r="D6" s="3" t="n">
        <v>31</v>
      </c>
      <c r="E6" s="3" t="s">
        <v>41</v>
      </c>
      <c r="F6" s="3"/>
      <c r="G6" s="3"/>
      <c r="H6" s="4" t="n">
        <v>40251</v>
      </c>
      <c r="I6" s="5" t="n">
        <v>40252</v>
      </c>
      <c r="J6" s="4" t="n">
        <v>41984</v>
      </c>
      <c r="K6" s="4" t="n">
        <v>41984</v>
      </c>
      <c r="L6" s="3"/>
      <c r="M6" s="3"/>
      <c r="N6" s="3"/>
      <c r="O6" s="3" t="s">
        <v>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 t="n">
        <v>25</v>
      </c>
      <c r="AC6" s="3" t="n">
        <v>1</v>
      </c>
      <c r="AD6" s="6" t="s">
        <v>46</v>
      </c>
      <c r="AE6" s="3" t="s">
        <v>54</v>
      </c>
      <c r="AF6" s="3"/>
      <c r="AG6" s="3"/>
      <c r="AH6" s="3"/>
      <c r="AI6" s="3"/>
      <c r="AJ6" s="3"/>
      <c r="AK6" s="3"/>
      <c r="AL6" s="7" t="n">
        <f aca="false">IF(A6="","",IF(COUNTIF(A6:A$2001,A6)=1,1,0))</f>
        <v>1</v>
      </c>
      <c r="AM6" s="7" t="n">
        <f aca="true">IF(I6="","",TODAY()-I6)</f>
        <v>6038</v>
      </c>
      <c r="AN6" s="7" t="n">
        <f aca="false">IF(A6="","",IF(AND(E6&lt;&gt;"33 確認済",E6&lt;&gt;"36 送付中"),1,0))</f>
        <v>1</v>
      </c>
      <c r="AO6" s="7" t="n">
        <f aca="false">IF(A6="","",IF(AG6&lt;&gt;"",1,0))</f>
        <v>0</v>
      </c>
    </row>
    <row r="7" customFormat="false" ht="15" hidden="false" customHeight="false" outlineLevel="0" collapsed="false">
      <c r="A7" s="3" t="n">
        <v>200960002933</v>
      </c>
      <c r="B7" s="3"/>
      <c r="C7" s="3"/>
      <c r="D7" s="3" t="n">
        <v>31</v>
      </c>
      <c r="E7" s="3" t="s">
        <v>41</v>
      </c>
      <c r="F7" s="3"/>
      <c r="G7" s="3"/>
      <c r="H7" s="4" t="n">
        <v>40238</v>
      </c>
      <c r="I7" s="5" t="n">
        <v>40253</v>
      </c>
      <c r="J7" s="4" t="n">
        <v>41984</v>
      </c>
      <c r="K7" s="4" t="n">
        <v>41984</v>
      </c>
      <c r="L7" s="3"/>
      <c r="M7" s="3"/>
      <c r="N7" s="3"/>
      <c r="O7" s="3" t="s">
        <v>42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 t="n">
        <v>21</v>
      </c>
      <c r="AC7" s="3" t="n">
        <v>1</v>
      </c>
      <c r="AD7" s="6" t="s">
        <v>46</v>
      </c>
      <c r="AE7" s="3" t="s">
        <v>55</v>
      </c>
      <c r="AF7" s="6" t="s">
        <v>46</v>
      </c>
      <c r="AG7" s="6" t="s">
        <v>46</v>
      </c>
      <c r="AH7" s="6" t="s">
        <v>46</v>
      </c>
      <c r="AI7" s="3"/>
      <c r="AJ7" s="3"/>
      <c r="AK7" s="3"/>
      <c r="AL7" s="7" t="n">
        <f aca="false">IF(A7="","",IF(COUNTIF(A7:A$2001,A7)=1,1,0))</f>
        <v>1</v>
      </c>
      <c r="AM7" s="7" t="n">
        <f aca="true">IF(I7="","",TODAY()-I7)</f>
        <v>6037</v>
      </c>
      <c r="AN7" s="7" t="n">
        <f aca="false">IF(A7="","",IF(AND(E7&lt;&gt;"33 確認済",E7&lt;&gt;"36 送付中"),1,0))</f>
        <v>1</v>
      </c>
      <c r="AO7" s="7" t="n">
        <f aca="false">IF(A7="","",IF(AG7&lt;&gt;"",1,0))</f>
        <v>1</v>
      </c>
    </row>
    <row r="8" customFormat="false" ht="15" hidden="false" customHeight="false" outlineLevel="0" collapsed="false">
      <c r="A8" s="3" t="n">
        <v>200960002999</v>
      </c>
      <c r="B8" s="3"/>
      <c r="C8" s="3"/>
      <c r="D8" s="3" t="n">
        <v>31</v>
      </c>
      <c r="E8" s="3" t="s">
        <v>41</v>
      </c>
      <c r="F8" s="3"/>
      <c r="G8" s="3"/>
      <c r="H8" s="4" t="n">
        <v>40238</v>
      </c>
      <c r="I8" s="5" t="n">
        <v>40262</v>
      </c>
      <c r="J8" s="4" t="n">
        <v>40266</v>
      </c>
      <c r="K8" s="4" t="n">
        <v>40266</v>
      </c>
      <c r="L8" s="3"/>
      <c r="M8" s="3"/>
      <c r="N8" s="3"/>
      <c r="O8" s="3" t="s">
        <v>56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 t="n">
        <v>26</v>
      </c>
      <c r="AC8" s="3" t="n">
        <v>1</v>
      </c>
      <c r="AD8" s="6" t="s">
        <v>46</v>
      </c>
      <c r="AE8" s="3" t="s">
        <v>57</v>
      </c>
      <c r="AF8" s="6" t="s">
        <v>46</v>
      </c>
      <c r="AG8" s="6" t="s">
        <v>46</v>
      </c>
      <c r="AH8" s="6" t="s">
        <v>46</v>
      </c>
      <c r="AI8" s="3"/>
      <c r="AJ8" s="3"/>
      <c r="AK8" s="3"/>
      <c r="AL8" s="7" t="n">
        <f aca="false">IF(A8="","",IF(COUNTIF(A8:A$2001,A8)=1,1,0))</f>
        <v>1</v>
      </c>
      <c r="AM8" s="7" t="n">
        <f aca="true">IF(I8="","",TODAY()-I8)</f>
        <v>6028</v>
      </c>
      <c r="AN8" s="7" t="n">
        <f aca="false">IF(A8="","",IF(AND(E8&lt;&gt;"33 確認済",E8&lt;&gt;"36 送付中"),1,0))</f>
        <v>1</v>
      </c>
      <c r="AO8" s="7" t="n">
        <f aca="false">IF(A8="","",IF(AG8&lt;&gt;"",1,0))</f>
        <v>1</v>
      </c>
    </row>
    <row r="9" customFormat="false" ht="15" hidden="false" customHeight="false" outlineLevel="0" collapsed="false">
      <c r="A9" s="3" t="n">
        <v>200960003028</v>
      </c>
      <c r="B9" s="3"/>
      <c r="C9" s="3"/>
      <c r="D9" s="3" t="n">
        <v>31</v>
      </c>
      <c r="E9" s="3" t="s">
        <v>41</v>
      </c>
      <c r="F9" s="3"/>
      <c r="G9" s="3"/>
      <c r="H9" s="4" t="n">
        <v>40254</v>
      </c>
      <c r="I9" s="5" t="n">
        <v>40266</v>
      </c>
      <c r="J9" s="4" t="n">
        <v>40267</v>
      </c>
      <c r="K9" s="4" t="n">
        <v>40616</v>
      </c>
      <c r="L9" s="3"/>
      <c r="M9" s="3"/>
      <c r="N9" s="3"/>
      <c r="O9" s="3" t="s">
        <v>56</v>
      </c>
      <c r="P9" s="3"/>
      <c r="Q9" s="3"/>
      <c r="R9" s="3"/>
      <c r="S9" s="6" t="s">
        <v>58</v>
      </c>
      <c r="T9" s="3"/>
      <c r="U9" s="3"/>
      <c r="V9" s="3"/>
      <c r="W9" s="3"/>
      <c r="X9" s="3"/>
      <c r="Y9" s="3"/>
      <c r="Z9" s="3"/>
      <c r="AA9" s="3"/>
      <c r="AB9" s="3" t="n">
        <v>23</v>
      </c>
      <c r="AC9" s="3" t="n">
        <v>1</v>
      </c>
      <c r="AD9" s="6" t="s">
        <v>46</v>
      </c>
      <c r="AE9" s="3" t="s">
        <v>52</v>
      </c>
      <c r="AF9" s="3"/>
      <c r="AG9" s="3"/>
      <c r="AH9" s="3"/>
      <c r="AI9" s="3"/>
      <c r="AJ9" s="3"/>
      <c r="AK9" s="3"/>
      <c r="AL9" s="7" t="n">
        <f aca="false">IF(A9="","",IF(COUNTIF(A9:A$2001,A9)=1,1,0))</f>
        <v>0</v>
      </c>
      <c r="AM9" s="7" t="n">
        <f aca="true">IF(I9="","",TODAY()-I9)</f>
        <v>6024</v>
      </c>
      <c r="AN9" s="7" t="n">
        <f aca="false">IF(A9="","",IF(AND(E9&lt;&gt;"33 確認済",E9&lt;&gt;"36 送付中"),1,0))</f>
        <v>1</v>
      </c>
      <c r="AO9" s="7" t="n">
        <f aca="false">IF(A9="","",IF(AG9&lt;&gt;"",1,0))</f>
        <v>0</v>
      </c>
    </row>
    <row r="10" customFormat="false" ht="15" hidden="false" customHeight="false" outlineLevel="0" collapsed="false">
      <c r="A10" s="3" t="n">
        <v>200960003028</v>
      </c>
      <c r="B10" s="3"/>
      <c r="C10" s="3"/>
      <c r="D10" s="3" t="n">
        <v>31</v>
      </c>
      <c r="E10" s="3" t="s">
        <v>41</v>
      </c>
      <c r="F10" s="3"/>
      <c r="G10" s="3"/>
      <c r="H10" s="4" t="n">
        <v>40254</v>
      </c>
      <c r="I10" s="5" t="n">
        <v>40266</v>
      </c>
      <c r="J10" s="4" t="n">
        <v>40267</v>
      </c>
      <c r="K10" s="4" t="n">
        <v>40616</v>
      </c>
      <c r="L10" s="3"/>
      <c r="M10" s="3"/>
      <c r="N10" s="3"/>
      <c r="O10" s="3" t="s">
        <v>56</v>
      </c>
      <c r="P10" s="3"/>
      <c r="Q10" s="3"/>
      <c r="R10" s="3"/>
      <c r="S10" s="6" t="s">
        <v>58</v>
      </c>
      <c r="T10" s="3"/>
      <c r="U10" s="3"/>
      <c r="V10" s="3"/>
      <c r="W10" s="3"/>
      <c r="X10" s="3"/>
      <c r="Y10" s="3"/>
      <c r="Z10" s="3"/>
      <c r="AA10" s="3"/>
      <c r="AB10" s="3" t="n">
        <v>23</v>
      </c>
      <c r="AC10" s="3" t="n">
        <v>1</v>
      </c>
      <c r="AD10" s="6" t="s">
        <v>46</v>
      </c>
      <c r="AE10" s="3" t="s">
        <v>53</v>
      </c>
      <c r="AF10" s="3"/>
      <c r="AG10" s="3"/>
      <c r="AH10" s="3"/>
      <c r="AI10" s="3"/>
      <c r="AJ10" s="3"/>
      <c r="AK10" s="3"/>
      <c r="AL10" s="7" t="n">
        <f aca="false">IF(A10="","",IF(COUNTIF(A10:A$2001,A10)=1,1,0))</f>
        <v>1</v>
      </c>
      <c r="AM10" s="7" t="n">
        <f aca="true">IF(I10="","",TODAY()-I10)</f>
        <v>6024</v>
      </c>
      <c r="AN10" s="7" t="n">
        <f aca="false">IF(A10="","",IF(AND(E10&lt;&gt;"33 確認済",E10&lt;&gt;"36 送付中"),1,0))</f>
        <v>1</v>
      </c>
      <c r="AO10" s="7" t="n">
        <f aca="false">IF(A10="","",IF(AG10&lt;&gt;"",1,0))</f>
        <v>0</v>
      </c>
    </row>
    <row r="11" customFormat="false" ht="15" hidden="false" customHeight="false" outlineLevel="0" collapsed="false">
      <c r="A11" s="3" t="n">
        <v>201060000063</v>
      </c>
      <c r="B11" s="3"/>
      <c r="C11" s="3"/>
      <c r="D11" s="3" t="n">
        <v>31</v>
      </c>
      <c r="E11" s="3" t="s">
        <v>41</v>
      </c>
      <c r="F11" s="3" t="n">
        <v>20</v>
      </c>
      <c r="G11" s="3" t="s">
        <v>50</v>
      </c>
      <c r="H11" s="4" t="n">
        <v>40268</v>
      </c>
      <c r="I11" s="5" t="n">
        <v>40270</v>
      </c>
      <c r="J11" s="4" t="n">
        <v>41984</v>
      </c>
      <c r="K11" s="4" t="n">
        <v>41984</v>
      </c>
      <c r="L11" s="3"/>
      <c r="M11" s="3"/>
      <c r="N11" s="3"/>
      <c r="O11" s="3" t="s">
        <v>42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 t="n">
        <v>50</v>
      </c>
      <c r="AC11" s="3" t="n">
        <v>0</v>
      </c>
      <c r="AD11" s="6" t="s">
        <v>43</v>
      </c>
      <c r="AE11" s="3" t="s">
        <v>59</v>
      </c>
      <c r="AF11" s="6" t="s">
        <v>43</v>
      </c>
      <c r="AG11" s="6" t="s">
        <v>43</v>
      </c>
      <c r="AH11" s="6" t="s">
        <v>43</v>
      </c>
      <c r="AI11" s="3"/>
      <c r="AJ11" s="3"/>
      <c r="AK11" s="3"/>
      <c r="AL11" s="7" t="n">
        <f aca="false">IF(A11="","",IF(COUNTIF(A11:A$2001,A11)=1,1,0))</f>
        <v>1</v>
      </c>
      <c r="AM11" s="7" t="n">
        <f aca="true">IF(I11="","",TODAY()-I11)</f>
        <v>6020</v>
      </c>
      <c r="AN11" s="7" t="n">
        <f aca="false">IF(A11="","",IF(AND(E11&lt;&gt;"33 確認済",E11&lt;&gt;"36 送付中"),1,0))</f>
        <v>1</v>
      </c>
      <c r="AO11" s="7" t="n">
        <f aca="false">IF(A11="","",IF(AG11&lt;&gt;"",1,0))</f>
        <v>1</v>
      </c>
    </row>
    <row r="12" customFormat="false" ht="15" hidden="false" customHeight="false" outlineLevel="0" collapsed="false">
      <c r="A12" s="3" t="n">
        <v>201060002518</v>
      </c>
      <c r="B12" s="3"/>
      <c r="C12" s="3"/>
      <c r="D12" s="3" t="n">
        <v>40</v>
      </c>
      <c r="E12" s="3" t="s">
        <v>49</v>
      </c>
      <c r="F12" s="3" t="n">
        <v>20</v>
      </c>
      <c r="G12" s="3" t="s">
        <v>50</v>
      </c>
      <c r="H12" s="4" t="n">
        <v>40273</v>
      </c>
      <c r="I12" s="5" t="n">
        <v>40574</v>
      </c>
      <c r="J12" s="4" t="n">
        <v>40617</v>
      </c>
      <c r="K12" s="4" t="n">
        <v>40617</v>
      </c>
      <c r="L12" s="3"/>
      <c r="M12" s="3"/>
      <c r="N12" s="3"/>
      <c r="O12" s="3" t="s">
        <v>51</v>
      </c>
      <c r="P12" s="6" t="s">
        <v>60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 t="n">
        <v>99</v>
      </c>
      <c r="AC12" s="3" t="n">
        <v>1</v>
      </c>
      <c r="AD12" s="6" t="s">
        <v>46</v>
      </c>
      <c r="AE12" s="3" t="s">
        <v>61</v>
      </c>
      <c r="AF12" s="6" t="s">
        <v>46</v>
      </c>
      <c r="AG12" s="6" t="s">
        <v>46</v>
      </c>
      <c r="AH12" s="3"/>
      <c r="AI12" s="3"/>
      <c r="AJ12" s="3"/>
      <c r="AK12" s="3"/>
      <c r="AL12" s="7" t="n">
        <f aca="false">IF(A12="","",IF(COUNTIF(A12:A$2001,A12)=1,1,0))</f>
        <v>1</v>
      </c>
      <c r="AM12" s="7" t="n">
        <f aca="true">IF(I12="","",TODAY()-I12)</f>
        <v>5716</v>
      </c>
      <c r="AN12" s="7" t="n">
        <f aca="false">IF(A12="","",IF(AND(E12&lt;&gt;"33 確認済",E12&lt;&gt;"36 送付中"),1,0))</f>
        <v>1</v>
      </c>
      <c r="AO12" s="7" t="n">
        <f aca="false">IF(A12="","",IF(AG12&lt;&gt;"",1,0))</f>
        <v>1</v>
      </c>
    </row>
    <row r="13" customFormat="false" ht="15" hidden="false" customHeight="false" outlineLevel="0" collapsed="false">
      <c r="A13" s="3" t="n">
        <v>201160000813</v>
      </c>
      <c r="B13" s="3"/>
      <c r="C13" s="3"/>
      <c r="D13" s="3" t="n">
        <v>31</v>
      </c>
      <c r="E13" s="3" t="s">
        <v>41</v>
      </c>
      <c r="F13" s="3" t="n">
        <v>20</v>
      </c>
      <c r="G13" s="3" t="s">
        <v>50</v>
      </c>
      <c r="H13" s="4" t="n">
        <v>40634</v>
      </c>
      <c r="I13" s="5" t="n">
        <v>40721</v>
      </c>
      <c r="J13" s="4" t="n">
        <v>41984</v>
      </c>
      <c r="K13" s="4" t="n">
        <v>41984</v>
      </c>
      <c r="L13" s="3"/>
      <c r="M13" s="3"/>
      <c r="N13" s="3"/>
      <c r="O13" s="3" t="s">
        <v>42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 t="n">
        <v>47</v>
      </c>
      <c r="AC13" s="3" t="n">
        <v>0</v>
      </c>
      <c r="AD13" s="6" t="s">
        <v>43</v>
      </c>
      <c r="AE13" s="3" t="s">
        <v>44</v>
      </c>
      <c r="AF13" s="3"/>
      <c r="AG13" s="6" t="s">
        <v>43</v>
      </c>
      <c r="AH13" s="3"/>
      <c r="AI13" s="3"/>
      <c r="AJ13" s="3"/>
      <c r="AK13" s="3"/>
      <c r="AL13" s="7" t="n">
        <f aca="false">IF(A13="","",IF(COUNTIF(A13:A$2001,A13)=1,1,0))</f>
        <v>1</v>
      </c>
      <c r="AM13" s="7" t="n">
        <f aca="true">IF(I13="","",TODAY()-I13)</f>
        <v>5569</v>
      </c>
      <c r="AN13" s="7" t="n">
        <f aca="false">IF(A13="","",IF(AND(E13&lt;&gt;"33 確認済",E13&lt;&gt;"36 送付中"),1,0))</f>
        <v>1</v>
      </c>
      <c r="AO13" s="7" t="n">
        <f aca="false">IF(A13="","",IF(AG13&lt;&gt;"",1,0))</f>
        <v>1</v>
      </c>
    </row>
    <row r="14" customFormat="false" ht="15" hidden="false" customHeight="false" outlineLevel="0" collapsed="false">
      <c r="A14" s="3" t="n">
        <v>201260002213</v>
      </c>
      <c r="B14" s="3"/>
      <c r="C14" s="3"/>
      <c r="D14" s="3" t="n">
        <v>31</v>
      </c>
      <c r="E14" s="3" t="s">
        <v>41</v>
      </c>
      <c r="F14" s="3"/>
      <c r="G14" s="3"/>
      <c r="H14" s="4" t="n">
        <v>41259</v>
      </c>
      <c r="I14" s="5" t="n">
        <v>41260</v>
      </c>
      <c r="J14" s="4" t="n">
        <v>41984</v>
      </c>
      <c r="K14" s="4" t="n">
        <v>41984</v>
      </c>
      <c r="L14" s="3"/>
      <c r="M14" s="3"/>
      <c r="N14" s="3"/>
      <c r="O14" s="3" t="s">
        <v>42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 t="n">
        <v>22</v>
      </c>
      <c r="AC14" s="3" t="n">
        <v>1</v>
      </c>
      <c r="AD14" s="6" t="s">
        <v>46</v>
      </c>
      <c r="AE14" s="3" t="s">
        <v>47</v>
      </c>
      <c r="AF14" s="6" t="s">
        <v>46</v>
      </c>
      <c r="AG14" s="6" t="s">
        <v>46</v>
      </c>
      <c r="AH14" s="6" t="s">
        <v>46</v>
      </c>
      <c r="AI14" s="3"/>
      <c r="AJ14" s="3"/>
      <c r="AK14" s="3"/>
      <c r="AL14" s="7" t="n">
        <f aca="false">IF(A14="","",IF(COUNTIF(A14:A$2001,A14)=1,1,0))</f>
        <v>1</v>
      </c>
      <c r="AM14" s="7" t="n">
        <f aca="true">IF(I14="","",TODAY()-I14)</f>
        <v>5030</v>
      </c>
      <c r="AN14" s="7" t="n">
        <f aca="false">IF(A14="","",IF(AND(E14&lt;&gt;"33 確認済",E14&lt;&gt;"36 送付中"),1,0))</f>
        <v>1</v>
      </c>
      <c r="AO14" s="7" t="n">
        <f aca="false">IF(A14="","",IF(AG14&lt;&gt;"",1,0))</f>
        <v>1</v>
      </c>
    </row>
    <row r="15" customFormat="false" ht="15" hidden="false" customHeight="false" outlineLevel="0" collapsed="false">
      <c r="A15" s="3" t="n">
        <v>201260002232</v>
      </c>
      <c r="B15" s="3"/>
      <c r="C15" s="3"/>
      <c r="D15" s="3" t="n">
        <v>31</v>
      </c>
      <c r="E15" s="3" t="s">
        <v>41</v>
      </c>
      <c r="F15" s="3"/>
      <c r="G15" s="3"/>
      <c r="H15" s="4" t="n">
        <v>41258</v>
      </c>
      <c r="I15" s="5" t="n">
        <v>41262</v>
      </c>
      <c r="J15" s="4" t="n">
        <v>41984</v>
      </c>
      <c r="K15" s="4" t="n">
        <v>41984</v>
      </c>
      <c r="L15" s="3"/>
      <c r="M15" s="3"/>
      <c r="N15" s="3"/>
      <c r="O15" s="3" t="s">
        <v>42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 t="n">
        <v>22</v>
      </c>
      <c r="AC15" s="3" t="n">
        <v>1</v>
      </c>
      <c r="AD15" s="6" t="s">
        <v>46</v>
      </c>
      <c r="AE15" s="3" t="s">
        <v>47</v>
      </c>
      <c r="AF15" s="6" t="s">
        <v>46</v>
      </c>
      <c r="AG15" s="6" t="s">
        <v>46</v>
      </c>
      <c r="AH15" s="6" t="s">
        <v>46</v>
      </c>
      <c r="AI15" s="3"/>
      <c r="AJ15" s="3"/>
      <c r="AK15" s="3"/>
      <c r="AL15" s="7" t="n">
        <f aca="false">IF(A15="","",IF(COUNTIF(A15:A$2001,A15)=1,1,0))</f>
        <v>1</v>
      </c>
      <c r="AM15" s="7" t="n">
        <f aca="true">IF(I15="","",TODAY()-I15)</f>
        <v>5028</v>
      </c>
      <c r="AN15" s="7" t="n">
        <f aca="false">IF(A15="","",IF(AND(E15&lt;&gt;"33 確認済",E15&lt;&gt;"36 送付中"),1,0))</f>
        <v>1</v>
      </c>
      <c r="AO15" s="7" t="n">
        <f aca="false">IF(A15="","",IF(AG15&lt;&gt;"",1,0))</f>
        <v>1</v>
      </c>
    </row>
    <row r="16" customFormat="false" ht="15" hidden="false" customHeight="false" outlineLevel="0" collapsed="false">
      <c r="A16" s="3" t="n">
        <v>201260002479</v>
      </c>
      <c r="B16" s="3"/>
      <c r="C16" s="3"/>
      <c r="D16" s="3" t="n">
        <v>31</v>
      </c>
      <c r="E16" s="3" t="s">
        <v>41</v>
      </c>
      <c r="F16" s="3"/>
      <c r="G16" s="3"/>
      <c r="H16" s="4" t="n">
        <v>41309</v>
      </c>
      <c r="I16" s="5" t="n">
        <v>41309</v>
      </c>
      <c r="J16" s="4" t="n">
        <v>41984</v>
      </c>
      <c r="K16" s="4" t="n">
        <v>41984</v>
      </c>
      <c r="L16" s="3"/>
      <c r="M16" s="3"/>
      <c r="N16" s="3"/>
      <c r="O16" s="3" t="s">
        <v>42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 t="n">
        <v>26</v>
      </c>
      <c r="AC16" s="3" t="n">
        <v>1</v>
      </c>
      <c r="AD16" s="6" t="s">
        <v>46</v>
      </c>
      <c r="AE16" s="3" t="s">
        <v>57</v>
      </c>
      <c r="AF16" s="3"/>
      <c r="AG16" s="6" t="s">
        <v>46</v>
      </c>
      <c r="AH16" s="3"/>
      <c r="AI16" s="3"/>
      <c r="AJ16" s="3"/>
      <c r="AK16" s="3"/>
      <c r="AL16" s="7" t="n">
        <f aca="false">IF(A16="","",IF(COUNTIF(A16:A$2001,A16)=1,1,0))</f>
        <v>1</v>
      </c>
      <c r="AM16" s="7" t="n">
        <f aca="true">IF(I16="","",TODAY()-I16)</f>
        <v>4981</v>
      </c>
      <c r="AN16" s="7" t="n">
        <f aca="false">IF(A16="","",IF(AND(E16&lt;&gt;"33 確認済",E16&lt;&gt;"36 送付中"),1,0))</f>
        <v>1</v>
      </c>
      <c r="AO16" s="7" t="n">
        <f aca="false">IF(A16="","",IF(AG16&lt;&gt;"",1,0))</f>
        <v>1</v>
      </c>
    </row>
    <row r="17" customFormat="false" ht="15" hidden="false" customHeight="false" outlineLevel="0" collapsed="false">
      <c r="A17" s="3" t="n">
        <v>201360001338</v>
      </c>
      <c r="B17" s="3"/>
      <c r="C17" s="3"/>
      <c r="D17" s="3" t="n">
        <v>40</v>
      </c>
      <c r="E17" s="3" t="s">
        <v>49</v>
      </c>
      <c r="F17" s="3" t="n">
        <v>20</v>
      </c>
      <c r="G17" s="3" t="s">
        <v>50</v>
      </c>
      <c r="H17" s="4" t="n">
        <v>41518</v>
      </c>
      <c r="I17" s="5" t="n">
        <v>41554</v>
      </c>
      <c r="J17" s="4" t="n">
        <v>41554</v>
      </c>
      <c r="K17" s="4" t="n">
        <v>41554</v>
      </c>
      <c r="L17" s="3"/>
      <c r="M17" s="3"/>
      <c r="N17" s="3"/>
      <c r="O17" s="3" t="s">
        <v>62</v>
      </c>
      <c r="P17" s="3"/>
      <c r="Q17" s="3"/>
      <c r="R17" s="3"/>
      <c r="S17" s="3"/>
      <c r="T17" s="3"/>
      <c r="U17" s="3"/>
      <c r="V17" s="3"/>
      <c r="W17" s="6" t="s">
        <v>63</v>
      </c>
      <c r="X17" s="3"/>
      <c r="Y17" s="3"/>
      <c r="Z17" s="3"/>
      <c r="AA17" s="3"/>
      <c r="AB17" s="3" t="n">
        <v>47</v>
      </c>
      <c r="AC17" s="3" t="n">
        <v>0</v>
      </c>
      <c r="AD17" s="6" t="s">
        <v>43</v>
      </c>
      <c r="AE17" s="3" t="s">
        <v>44</v>
      </c>
      <c r="AF17" s="3"/>
      <c r="AG17" s="3"/>
      <c r="AH17" s="6" t="s">
        <v>43</v>
      </c>
      <c r="AI17" s="3"/>
      <c r="AJ17" s="3"/>
      <c r="AK17" s="3"/>
      <c r="AL17" s="7" t="n">
        <f aca="false">IF(A17="","",IF(COUNTIF(A17:A$2001,A17)=1,1,0))</f>
        <v>1</v>
      </c>
      <c r="AM17" s="7" t="n">
        <f aca="true">IF(I17="","",TODAY()-I17)</f>
        <v>4736</v>
      </c>
      <c r="AN17" s="7" t="n">
        <f aca="false">IF(A17="","",IF(AND(E17&lt;&gt;"33 確認済",E17&lt;&gt;"36 送付中"),1,0))</f>
        <v>1</v>
      </c>
      <c r="AO17" s="7" t="n">
        <f aca="false">IF(A17="","",IF(AG17&lt;&gt;"",1,0))</f>
        <v>0</v>
      </c>
    </row>
    <row r="18" customFormat="false" ht="15" hidden="false" customHeight="false" outlineLevel="0" collapsed="false">
      <c r="A18" s="3" t="n">
        <v>201360002263</v>
      </c>
      <c r="B18" s="3"/>
      <c r="C18" s="3"/>
      <c r="D18" s="3" t="n">
        <v>40</v>
      </c>
      <c r="E18" s="3" t="s">
        <v>49</v>
      </c>
      <c r="F18" s="3" t="n">
        <v>20</v>
      </c>
      <c r="G18" s="3" t="s">
        <v>50</v>
      </c>
      <c r="H18" s="4" t="n">
        <v>41646</v>
      </c>
      <c r="I18" s="5" t="n">
        <v>41647</v>
      </c>
      <c r="J18" s="4" t="n">
        <v>41648</v>
      </c>
      <c r="K18" s="4" t="n">
        <v>41648</v>
      </c>
      <c r="L18" s="3"/>
      <c r="M18" s="3"/>
      <c r="N18" s="3"/>
      <c r="O18" s="3" t="s">
        <v>62</v>
      </c>
      <c r="P18" s="3"/>
      <c r="Q18" s="3"/>
      <c r="R18" s="3"/>
      <c r="S18" s="3"/>
      <c r="T18" s="3"/>
      <c r="U18" s="3"/>
      <c r="V18" s="3"/>
      <c r="W18" s="6" t="s">
        <v>63</v>
      </c>
      <c r="X18" s="3"/>
      <c r="Y18" s="3"/>
      <c r="Z18" s="3"/>
      <c r="AA18" s="3"/>
      <c r="AB18" s="3" t="n">
        <v>23</v>
      </c>
      <c r="AC18" s="3" t="n">
        <v>1</v>
      </c>
      <c r="AD18" s="6" t="s">
        <v>46</v>
      </c>
      <c r="AE18" s="3" t="s">
        <v>52</v>
      </c>
      <c r="AF18" s="6" t="s">
        <v>46</v>
      </c>
      <c r="AG18" s="6" t="s">
        <v>46</v>
      </c>
      <c r="AH18" s="6" t="s">
        <v>46</v>
      </c>
      <c r="AI18" s="3"/>
      <c r="AJ18" s="3"/>
      <c r="AK18" s="3"/>
      <c r="AL18" s="7" t="n">
        <f aca="false">IF(A18="","",IF(COUNTIF(A18:A$2001,A18)=1,1,0))</f>
        <v>0</v>
      </c>
      <c r="AM18" s="7" t="n">
        <f aca="true">IF(I18="","",TODAY()-I18)</f>
        <v>4643</v>
      </c>
      <c r="AN18" s="7" t="n">
        <f aca="false">IF(A18="","",IF(AND(E18&lt;&gt;"33 確認済",E18&lt;&gt;"36 送付中"),1,0))</f>
        <v>1</v>
      </c>
      <c r="AO18" s="7" t="n">
        <f aca="false">IF(A18="","",IF(AG18&lt;&gt;"",1,0))</f>
        <v>1</v>
      </c>
    </row>
    <row r="19" customFormat="false" ht="15" hidden="false" customHeight="false" outlineLevel="0" collapsed="false">
      <c r="A19" s="3" t="n">
        <v>201360002263</v>
      </c>
      <c r="B19" s="3"/>
      <c r="C19" s="3"/>
      <c r="D19" s="3" t="n">
        <v>40</v>
      </c>
      <c r="E19" s="3" t="s">
        <v>49</v>
      </c>
      <c r="F19" s="3" t="n">
        <v>20</v>
      </c>
      <c r="G19" s="3" t="s">
        <v>50</v>
      </c>
      <c r="H19" s="4" t="n">
        <v>41646</v>
      </c>
      <c r="I19" s="5" t="n">
        <v>41647</v>
      </c>
      <c r="J19" s="4" t="n">
        <v>41648</v>
      </c>
      <c r="K19" s="4" t="n">
        <v>41648</v>
      </c>
      <c r="L19" s="3"/>
      <c r="M19" s="3"/>
      <c r="N19" s="3"/>
      <c r="O19" s="3" t="s">
        <v>62</v>
      </c>
      <c r="P19" s="3"/>
      <c r="Q19" s="3"/>
      <c r="R19" s="3"/>
      <c r="S19" s="3"/>
      <c r="T19" s="3"/>
      <c r="U19" s="3"/>
      <c r="V19" s="3"/>
      <c r="W19" s="6" t="s">
        <v>63</v>
      </c>
      <c r="X19" s="3"/>
      <c r="Y19" s="3"/>
      <c r="Z19" s="3"/>
      <c r="AA19" s="3"/>
      <c r="AB19" s="3" t="n">
        <v>23</v>
      </c>
      <c r="AC19" s="3" t="n">
        <v>1</v>
      </c>
      <c r="AD19" s="6" t="s">
        <v>46</v>
      </c>
      <c r="AE19" s="3" t="s">
        <v>53</v>
      </c>
      <c r="AF19" s="6" t="s">
        <v>46</v>
      </c>
      <c r="AG19" s="6" t="s">
        <v>46</v>
      </c>
      <c r="AH19" s="6" t="s">
        <v>46</v>
      </c>
      <c r="AI19" s="3"/>
      <c r="AJ19" s="3"/>
      <c r="AK19" s="3"/>
      <c r="AL19" s="7" t="n">
        <f aca="false">IF(A19="","",IF(COUNTIF(A19:A$2001,A19)=1,1,0))</f>
        <v>1</v>
      </c>
      <c r="AM19" s="7" t="n">
        <f aca="true">IF(I19="","",TODAY()-I19)</f>
        <v>4643</v>
      </c>
      <c r="AN19" s="7" t="n">
        <f aca="false">IF(A19="","",IF(AND(E19&lt;&gt;"33 確認済",E19&lt;&gt;"36 送付中"),1,0))</f>
        <v>1</v>
      </c>
      <c r="AO19" s="7" t="n">
        <f aca="false">IF(A19="","",IF(AG19&lt;&gt;"",1,0))</f>
        <v>1</v>
      </c>
    </row>
    <row r="20" customFormat="false" ht="15" hidden="false" customHeight="false" outlineLevel="0" collapsed="false">
      <c r="A20" s="3" t="n">
        <v>201460000430</v>
      </c>
      <c r="B20" s="3"/>
      <c r="C20" s="3"/>
      <c r="D20" s="3" t="n">
        <v>31</v>
      </c>
      <c r="E20" s="3" t="s">
        <v>41</v>
      </c>
      <c r="F20" s="3"/>
      <c r="G20" s="3"/>
      <c r="H20" s="4" t="n">
        <v>41754</v>
      </c>
      <c r="I20" s="5" t="n">
        <v>41754</v>
      </c>
      <c r="J20" s="4" t="n">
        <v>41985</v>
      </c>
      <c r="K20" s="4" t="n">
        <v>41985</v>
      </c>
      <c r="L20" s="3"/>
      <c r="M20" s="3"/>
      <c r="N20" s="3"/>
      <c r="O20" s="3" t="s">
        <v>42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 t="n">
        <v>47</v>
      </c>
      <c r="AC20" s="3" t="n">
        <v>0</v>
      </c>
      <c r="AD20" s="6" t="s">
        <v>43</v>
      </c>
      <c r="AE20" s="3" t="s">
        <v>44</v>
      </c>
      <c r="AF20" s="6" t="s">
        <v>43</v>
      </c>
      <c r="AG20" s="6" t="s">
        <v>43</v>
      </c>
      <c r="AH20" s="6" t="s">
        <v>43</v>
      </c>
      <c r="AI20" s="3"/>
      <c r="AJ20" s="3"/>
      <c r="AK20" s="3"/>
      <c r="AL20" s="7" t="n">
        <f aca="false">IF(A20="","",IF(COUNTIF(A20:A$2001,A20)=1,1,0))</f>
        <v>1</v>
      </c>
      <c r="AM20" s="7" t="n">
        <f aca="true">IF(I20="","",TODAY()-I20)</f>
        <v>4536</v>
      </c>
      <c r="AN20" s="7" t="n">
        <f aca="false">IF(A20="","",IF(AND(E20&lt;&gt;"33 確認済",E20&lt;&gt;"36 送付中"),1,0))</f>
        <v>1</v>
      </c>
      <c r="AO20" s="7" t="n">
        <f aca="false">IF(A20="","",IF(AG20&lt;&gt;"",1,0))</f>
        <v>1</v>
      </c>
    </row>
    <row r="21" customFormat="false" ht="15" hidden="false" customHeight="false" outlineLevel="0" collapsed="false">
      <c r="A21" s="3" t="n">
        <v>201560001259</v>
      </c>
      <c r="B21" s="3"/>
      <c r="C21" s="3"/>
      <c r="D21" s="3" t="n">
        <v>31</v>
      </c>
      <c r="E21" s="3" t="s">
        <v>41</v>
      </c>
      <c r="F21" s="3"/>
      <c r="G21" s="3"/>
      <c r="H21" s="4" t="n">
        <v>42189</v>
      </c>
      <c r="I21" s="5" t="n">
        <v>42230</v>
      </c>
      <c r="J21" s="4" t="n">
        <v>42431</v>
      </c>
      <c r="K21" s="4" t="n">
        <v>42431</v>
      </c>
      <c r="L21" s="3"/>
      <c r="M21" s="3"/>
      <c r="N21" s="3"/>
      <c r="O21" s="3" t="s">
        <v>42</v>
      </c>
      <c r="P21" s="3"/>
      <c r="Q21" s="3"/>
      <c r="R21" s="3"/>
      <c r="S21" s="3"/>
      <c r="T21" s="6" t="s">
        <v>64</v>
      </c>
      <c r="U21" s="3"/>
      <c r="V21" s="3"/>
      <c r="W21" s="3"/>
      <c r="X21" s="3"/>
      <c r="Y21" s="3"/>
      <c r="Z21" s="3"/>
      <c r="AA21" s="3"/>
      <c r="AB21" s="3" t="n">
        <v>99</v>
      </c>
      <c r="AC21" s="3" t="n">
        <v>1</v>
      </c>
      <c r="AD21" s="6" t="s">
        <v>46</v>
      </c>
      <c r="AE21" s="3" t="s">
        <v>61</v>
      </c>
      <c r="AF21" s="6" t="s">
        <v>46</v>
      </c>
      <c r="AG21" s="3"/>
      <c r="AH21" s="6" t="s">
        <v>46</v>
      </c>
      <c r="AI21" s="3"/>
      <c r="AJ21" s="3"/>
      <c r="AK21" s="3"/>
      <c r="AL21" s="7" t="n">
        <f aca="false">IF(A21="","",IF(COUNTIF(A21:A$2001,A21)=1,1,0))</f>
        <v>1</v>
      </c>
      <c r="AM21" s="7" t="n">
        <f aca="true">IF(I21="","",TODAY()-I21)</f>
        <v>4060</v>
      </c>
      <c r="AN21" s="7" t="n">
        <f aca="false">IF(A21="","",IF(AND(E21&lt;&gt;"33 確認済",E21&lt;&gt;"36 送付中"),1,0))</f>
        <v>1</v>
      </c>
      <c r="AO21" s="7" t="n">
        <f aca="false">IF(A21="","",IF(AG21&lt;&gt;"",1,0))</f>
        <v>0</v>
      </c>
    </row>
    <row r="22" customFormat="false" ht="15" hidden="false" customHeight="false" outlineLevel="0" collapsed="false">
      <c r="A22" s="3" t="n">
        <v>201560002704</v>
      </c>
      <c r="B22" s="3"/>
      <c r="C22" s="3"/>
      <c r="D22" s="3" t="n">
        <v>40</v>
      </c>
      <c r="E22" s="3" t="s">
        <v>49</v>
      </c>
      <c r="F22" s="3" t="n">
        <v>20</v>
      </c>
      <c r="G22" s="3" t="s">
        <v>50</v>
      </c>
      <c r="H22" s="4" t="n">
        <v>42370</v>
      </c>
      <c r="I22" s="5" t="n">
        <v>42408</v>
      </c>
      <c r="J22" s="4" t="n">
        <v>42408</v>
      </c>
      <c r="K22" s="4" t="n">
        <v>42408</v>
      </c>
      <c r="L22" s="3"/>
      <c r="M22" s="3"/>
      <c r="N22" s="3"/>
      <c r="O22" s="3" t="s">
        <v>62</v>
      </c>
      <c r="P22" s="3"/>
      <c r="Q22" s="3"/>
      <c r="R22" s="3"/>
      <c r="S22" s="3"/>
      <c r="T22" s="3"/>
      <c r="U22" s="3"/>
      <c r="V22" s="3"/>
      <c r="W22" s="6" t="s">
        <v>63</v>
      </c>
      <c r="X22" s="3"/>
      <c r="Y22" s="3"/>
      <c r="Z22" s="3"/>
      <c r="AA22" s="3"/>
      <c r="AB22" s="3" t="n">
        <v>99</v>
      </c>
      <c r="AC22" s="3" t="n">
        <v>0</v>
      </c>
      <c r="AD22" s="6" t="s">
        <v>43</v>
      </c>
      <c r="AE22" s="3" t="s">
        <v>61</v>
      </c>
      <c r="AF22" s="3"/>
      <c r="AG22" s="3"/>
      <c r="AH22" s="6" t="s">
        <v>43</v>
      </c>
      <c r="AI22" s="3"/>
      <c r="AJ22" s="3"/>
      <c r="AK22" s="3"/>
      <c r="AL22" s="7" t="n">
        <f aca="false">IF(A22="","",IF(COUNTIF(A22:A$2001,A22)=1,1,0))</f>
        <v>1</v>
      </c>
      <c r="AM22" s="7" t="n">
        <f aca="true">IF(I22="","",TODAY()-I22)</f>
        <v>3882</v>
      </c>
      <c r="AN22" s="7" t="n">
        <f aca="false">IF(A22="","",IF(AND(E22&lt;&gt;"33 確認済",E22&lt;&gt;"36 送付中"),1,0))</f>
        <v>1</v>
      </c>
      <c r="AO22" s="7" t="n">
        <f aca="false">IF(A22="","",IF(AG22&lt;&gt;"",1,0))</f>
        <v>0</v>
      </c>
    </row>
    <row r="23" customFormat="false" ht="15" hidden="false" customHeight="false" outlineLevel="0" collapsed="false">
      <c r="A23" s="3" t="n">
        <v>201660002819</v>
      </c>
      <c r="B23" s="3"/>
      <c r="C23" s="3"/>
      <c r="D23" s="3" t="n">
        <v>40</v>
      </c>
      <c r="E23" s="3" t="s">
        <v>49</v>
      </c>
      <c r="F23" s="3" t="n">
        <v>20</v>
      </c>
      <c r="G23" s="3" t="s">
        <v>50</v>
      </c>
      <c r="H23" s="4" t="n">
        <v>42566</v>
      </c>
      <c r="I23" s="5" t="n">
        <v>42732</v>
      </c>
      <c r="J23" s="4" t="n">
        <v>42739</v>
      </c>
      <c r="K23" s="4" t="n">
        <v>42739</v>
      </c>
      <c r="L23" s="3"/>
      <c r="M23" s="3"/>
      <c r="N23" s="3"/>
      <c r="O23" s="3" t="s">
        <v>62</v>
      </c>
      <c r="P23" s="3"/>
      <c r="Q23" s="3"/>
      <c r="R23" s="3"/>
      <c r="S23" s="3"/>
      <c r="T23" s="3"/>
      <c r="U23" s="3"/>
      <c r="V23" s="3"/>
      <c r="W23" s="6" t="s">
        <v>63</v>
      </c>
      <c r="X23" s="3"/>
      <c r="Y23" s="3"/>
      <c r="Z23" s="3"/>
      <c r="AA23" s="3"/>
      <c r="AB23" s="3" t="n">
        <v>9</v>
      </c>
      <c r="AC23" s="3" t="n">
        <v>0</v>
      </c>
      <c r="AD23" s="6" t="s">
        <v>43</v>
      </c>
      <c r="AE23" s="3" t="s">
        <v>65</v>
      </c>
      <c r="AF23" s="6" t="s">
        <v>43</v>
      </c>
      <c r="AG23" s="6" t="s">
        <v>43</v>
      </c>
      <c r="AH23" s="6" t="s">
        <v>43</v>
      </c>
      <c r="AI23" s="3"/>
      <c r="AJ23" s="3"/>
      <c r="AK23" s="3"/>
      <c r="AL23" s="7" t="n">
        <f aca="false">IF(A23="","",IF(COUNTIF(A23:A$2001,A23)=1,1,0))</f>
        <v>1</v>
      </c>
      <c r="AM23" s="7" t="n">
        <f aca="true">IF(I23="","",TODAY()-I23)</f>
        <v>3558</v>
      </c>
      <c r="AN23" s="7" t="n">
        <f aca="false">IF(A23="","",IF(AND(E23&lt;&gt;"33 確認済",E23&lt;&gt;"36 送付中"),1,0))</f>
        <v>1</v>
      </c>
      <c r="AO23" s="7" t="n">
        <f aca="false">IF(A23="","",IF(AG23&lt;&gt;"",1,0))</f>
        <v>1</v>
      </c>
    </row>
    <row r="24" customFormat="false" ht="15" hidden="false" customHeight="false" outlineLevel="0" collapsed="false">
      <c r="A24" s="3" t="n">
        <v>201760002086</v>
      </c>
      <c r="B24" s="3"/>
      <c r="C24" s="3"/>
      <c r="D24" s="3" t="n">
        <v>40</v>
      </c>
      <c r="E24" s="3" t="s">
        <v>49</v>
      </c>
      <c r="F24" s="3" t="n">
        <v>20</v>
      </c>
      <c r="G24" s="3" t="s">
        <v>50</v>
      </c>
      <c r="H24" s="4" t="n">
        <v>43031</v>
      </c>
      <c r="I24" s="5" t="n">
        <v>43036</v>
      </c>
      <c r="J24" s="4" t="n">
        <v>43038</v>
      </c>
      <c r="K24" s="4" t="n">
        <v>43041</v>
      </c>
      <c r="L24" s="3"/>
      <c r="M24" s="3"/>
      <c r="N24" s="3"/>
      <c r="O24" s="3" t="s">
        <v>62</v>
      </c>
      <c r="P24" s="3"/>
      <c r="Q24" s="3"/>
      <c r="R24" s="3"/>
      <c r="S24" s="3"/>
      <c r="T24" s="3"/>
      <c r="U24" s="3"/>
      <c r="V24" s="3"/>
      <c r="W24" s="6" t="s">
        <v>63</v>
      </c>
      <c r="X24" s="3"/>
      <c r="Y24" s="3"/>
      <c r="Z24" s="3"/>
      <c r="AA24" s="3"/>
      <c r="AB24" s="3" t="n">
        <v>27</v>
      </c>
      <c r="AC24" s="3" t="n">
        <v>1</v>
      </c>
      <c r="AD24" s="6" t="s">
        <v>46</v>
      </c>
      <c r="AE24" s="3" t="s">
        <v>66</v>
      </c>
      <c r="AF24" s="3"/>
      <c r="AG24" s="3"/>
      <c r="AH24" s="6" t="s">
        <v>46</v>
      </c>
      <c r="AI24" s="3"/>
      <c r="AJ24" s="3"/>
      <c r="AK24" s="3"/>
      <c r="AL24" s="7" t="n">
        <f aca="false">IF(A24="","",IF(COUNTIF(A24:A$2001,A24)=1,1,0))</f>
        <v>1</v>
      </c>
      <c r="AM24" s="7" t="n">
        <f aca="true">IF(I24="","",TODAY()-I24)</f>
        <v>3254</v>
      </c>
      <c r="AN24" s="7" t="n">
        <f aca="false">IF(A24="","",IF(AND(E24&lt;&gt;"33 確認済",E24&lt;&gt;"36 送付中"),1,0))</f>
        <v>1</v>
      </c>
      <c r="AO24" s="7" t="n">
        <f aca="false">IF(A24="","",IF(AG24&lt;&gt;"",1,0))</f>
        <v>0</v>
      </c>
    </row>
    <row r="25" customFormat="false" ht="15" hidden="false" customHeight="false" outlineLevel="0" collapsed="false">
      <c r="A25" s="3" t="n">
        <v>201860001388</v>
      </c>
      <c r="B25" s="3"/>
      <c r="C25" s="3"/>
      <c r="D25" s="3" t="n">
        <v>40</v>
      </c>
      <c r="E25" s="3" t="s">
        <v>49</v>
      </c>
      <c r="F25" s="3" t="n">
        <v>20</v>
      </c>
      <c r="G25" s="3" t="s">
        <v>50</v>
      </c>
      <c r="H25" s="4" t="n">
        <v>43321</v>
      </c>
      <c r="I25" s="5" t="n">
        <v>43321</v>
      </c>
      <c r="J25" s="4" t="n">
        <v>43325</v>
      </c>
      <c r="K25" s="4" t="n">
        <v>43325</v>
      </c>
      <c r="L25" s="3"/>
      <c r="M25" s="3"/>
      <c r="N25" s="3"/>
      <c r="O25" s="3" t="s">
        <v>67</v>
      </c>
      <c r="P25" s="6" t="s">
        <v>60</v>
      </c>
      <c r="Q25" s="3"/>
      <c r="R25" s="3"/>
      <c r="S25" s="3"/>
      <c r="T25" s="3"/>
      <c r="U25" s="6" t="s">
        <v>68</v>
      </c>
      <c r="V25" s="3"/>
      <c r="W25" s="3"/>
      <c r="X25" s="3"/>
      <c r="Y25" s="3"/>
      <c r="Z25" s="3"/>
      <c r="AA25" s="3"/>
      <c r="AB25" s="3" t="n">
        <v>21</v>
      </c>
      <c r="AC25" s="3" t="n">
        <v>1</v>
      </c>
      <c r="AD25" s="6" t="s">
        <v>46</v>
      </c>
      <c r="AE25" s="3" t="s">
        <v>55</v>
      </c>
      <c r="AF25" s="3"/>
      <c r="AG25" s="6" t="s">
        <v>46</v>
      </c>
      <c r="AH25" s="3"/>
      <c r="AI25" s="3"/>
      <c r="AJ25" s="3"/>
      <c r="AK25" s="3"/>
      <c r="AL25" s="7" t="n">
        <f aca="false">IF(A25="","",IF(COUNTIF(A25:A$2001,A25)=1,1,0))</f>
        <v>1</v>
      </c>
      <c r="AM25" s="7" t="n">
        <f aca="true">IF(I25="","",TODAY()-I25)</f>
        <v>2969</v>
      </c>
      <c r="AN25" s="7" t="n">
        <f aca="false">IF(A25="","",IF(AND(E25&lt;&gt;"33 確認済",E25&lt;&gt;"36 送付中"),1,0))</f>
        <v>1</v>
      </c>
      <c r="AO25" s="7" t="n">
        <f aca="false">IF(A25="","",IF(AG25&lt;&gt;"",1,0))</f>
        <v>1</v>
      </c>
    </row>
    <row r="26" customFormat="false" ht="15" hidden="false" customHeight="false" outlineLevel="0" collapsed="false">
      <c r="A26" s="3" t="n">
        <v>201860001862</v>
      </c>
      <c r="B26" s="3"/>
      <c r="C26" s="3"/>
      <c r="D26" s="3" t="n">
        <v>31</v>
      </c>
      <c r="E26" s="3" t="s">
        <v>41</v>
      </c>
      <c r="F26" s="3"/>
      <c r="G26" s="3"/>
      <c r="H26" s="4" t="n">
        <v>43341</v>
      </c>
      <c r="I26" s="5" t="n">
        <v>43371</v>
      </c>
      <c r="J26" s="4" t="n">
        <v>43411</v>
      </c>
      <c r="K26" s="4" t="n">
        <v>43411</v>
      </c>
      <c r="L26" s="3"/>
      <c r="M26" s="3"/>
      <c r="N26" s="3"/>
      <c r="O26" s="3" t="s">
        <v>42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 t="n">
        <v>9</v>
      </c>
      <c r="AC26" s="3" t="n">
        <v>0</v>
      </c>
      <c r="AD26" s="6" t="s">
        <v>43</v>
      </c>
      <c r="AE26" s="3" t="s">
        <v>65</v>
      </c>
      <c r="AF26" s="6" t="s">
        <v>43</v>
      </c>
      <c r="AG26" s="6" t="s">
        <v>43</v>
      </c>
      <c r="AH26" s="6" t="s">
        <v>43</v>
      </c>
      <c r="AI26" s="3"/>
      <c r="AJ26" s="3"/>
      <c r="AK26" s="3"/>
      <c r="AL26" s="7" t="n">
        <f aca="false">IF(A26="","",IF(COUNTIF(A26:A$2001,A26)=1,1,0))</f>
        <v>1</v>
      </c>
      <c r="AM26" s="7" t="n">
        <f aca="true">IF(I26="","",TODAY()-I26)</f>
        <v>2919</v>
      </c>
      <c r="AN26" s="7" t="n">
        <f aca="false">IF(A26="","",IF(AND(E26&lt;&gt;"33 確認済",E26&lt;&gt;"36 送付中"),1,0))</f>
        <v>1</v>
      </c>
      <c r="AO26" s="7" t="n">
        <f aca="false">IF(A26="","",IF(AG26&lt;&gt;"",1,0))</f>
        <v>1</v>
      </c>
    </row>
    <row r="27" customFormat="false" ht="15" hidden="false" customHeight="false" outlineLevel="0" collapsed="false">
      <c r="A27" s="3" t="n">
        <v>202060000569</v>
      </c>
      <c r="B27" s="3"/>
      <c r="C27" s="3"/>
      <c r="D27" s="3" t="n">
        <v>31</v>
      </c>
      <c r="E27" s="3" t="s">
        <v>41</v>
      </c>
      <c r="F27" s="3"/>
      <c r="G27" s="3"/>
      <c r="H27" s="4" t="n">
        <v>43937</v>
      </c>
      <c r="I27" s="5" t="n">
        <v>43951</v>
      </c>
      <c r="J27" s="4" t="n">
        <v>44013</v>
      </c>
      <c r="K27" s="4" t="n">
        <v>44013</v>
      </c>
      <c r="L27" s="3"/>
      <c r="M27" s="3"/>
      <c r="N27" s="3"/>
      <c r="O27" s="3" t="s">
        <v>42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 t="n">
        <v>22</v>
      </c>
      <c r="AC27" s="3" t="n">
        <v>1</v>
      </c>
      <c r="AD27" s="6" t="s">
        <v>46</v>
      </c>
      <c r="AE27" s="3" t="s">
        <v>47</v>
      </c>
      <c r="AF27" s="3"/>
      <c r="AG27" s="6" t="s">
        <v>46</v>
      </c>
      <c r="AH27" s="3"/>
      <c r="AI27" s="3"/>
      <c r="AJ27" s="3"/>
      <c r="AK27" s="3"/>
      <c r="AL27" s="7" t="n">
        <f aca="false">IF(A27="","",IF(COUNTIF(A27:A$2001,A27)=1,1,0))</f>
        <v>1</v>
      </c>
      <c r="AM27" s="7" t="n">
        <f aca="true">IF(I27="","",TODAY()-I27)</f>
        <v>2339</v>
      </c>
      <c r="AN27" s="7" t="n">
        <f aca="false">IF(A27="","",IF(AND(E27&lt;&gt;"33 確認済",E27&lt;&gt;"36 送付中"),1,0))</f>
        <v>1</v>
      </c>
      <c r="AO27" s="7" t="n">
        <f aca="false">IF(A27="","",IF(AG27&lt;&gt;"",1,0))</f>
        <v>1</v>
      </c>
    </row>
    <row r="28" customFormat="false" ht="15" hidden="false" customHeight="false" outlineLevel="0" collapsed="false">
      <c r="A28" s="3" t="n">
        <v>202060001460</v>
      </c>
      <c r="B28" s="3"/>
      <c r="C28" s="3"/>
      <c r="D28" s="3" t="n">
        <v>40</v>
      </c>
      <c r="E28" s="3" t="s">
        <v>49</v>
      </c>
      <c r="F28" s="3" t="n">
        <v>20</v>
      </c>
      <c r="G28" s="3" t="s">
        <v>50</v>
      </c>
      <c r="H28" s="4" t="n">
        <v>43191</v>
      </c>
      <c r="I28" s="5" t="n">
        <v>44139</v>
      </c>
      <c r="J28" s="4" t="n">
        <v>44501</v>
      </c>
      <c r="K28" s="4" t="n">
        <v>44504</v>
      </c>
      <c r="L28" s="3"/>
      <c r="M28" s="3"/>
      <c r="N28" s="3"/>
      <c r="O28" s="3" t="s">
        <v>67</v>
      </c>
      <c r="P28" s="6" t="s">
        <v>60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 t="n">
        <v>27</v>
      </c>
      <c r="AC28" s="3" t="n">
        <v>1</v>
      </c>
      <c r="AD28" s="6" t="s">
        <v>46</v>
      </c>
      <c r="AE28" s="3" t="s">
        <v>66</v>
      </c>
      <c r="AF28" s="6" t="s">
        <v>46</v>
      </c>
      <c r="AG28" s="6" t="s">
        <v>46</v>
      </c>
      <c r="AH28" s="6" t="s">
        <v>46</v>
      </c>
      <c r="AI28" s="3"/>
      <c r="AJ28" s="3"/>
      <c r="AK28" s="3"/>
      <c r="AL28" s="7" t="n">
        <f aca="false">IF(A28="","",IF(COUNTIF(A28:A$2001,A28)=1,1,0))</f>
        <v>1</v>
      </c>
      <c r="AM28" s="7" t="n">
        <f aca="true">IF(I28="","",TODAY()-I28)</f>
        <v>2151</v>
      </c>
      <c r="AN28" s="7" t="n">
        <f aca="false">IF(A28="","",IF(AND(E28&lt;&gt;"33 確認済",E28&lt;&gt;"36 送付中"),1,0))</f>
        <v>1</v>
      </c>
      <c r="AO28" s="7" t="n">
        <f aca="false">IF(A28="","",IF(AG28&lt;&gt;"",1,0))</f>
        <v>1</v>
      </c>
    </row>
    <row r="29" customFormat="false" ht="15" hidden="false" customHeight="false" outlineLevel="0" collapsed="false">
      <c r="A29" s="3" t="n">
        <v>202060002466</v>
      </c>
      <c r="B29" s="3"/>
      <c r="C29" s="3"/>
      <c r="D29" s="3" t="n">
        <v>20</v>
      </c>
      <c r="E29" s="3" t="s">
        <v>69</v>
      </c>
      <c r="F29" s="3" t="n">
        <v>20</v>
      </c>
      <c r="G29" s="3" t="s">
        <v>50</v>
      </c>
      <c r="H29" s="4" t="n">
        <v>44197</v>
      </c>
      <c r="I29" s="5" t="n">
        <v>44210</v>
      </c>
      <c r="J29" s="4" t="n">
        <v>44243</v>
      </c>
      <c r="K29" s="4" t="n">
        <v>45617</v>
      </c>
      <c r="L29" s="3"/>
      <c r="M29" s="3"/>
      <c r="N29" s="3"/>
      <c r="O29" s="3" t="s">
        <v>70</v>
      </c>
      <c r="P29" s="3"/>
      <c r="Q29" s="3"/>
      <c r="R29" s="6" t="s">
        <v>71</v>
      </c>
      <c r="S29" s="3"/>
      <c r="T29" s="3"/>
      <c r="U29" s="3"/>
      <c r="V29" s="3"/>
      <c r="W29" s="6" t="s">
        <v>63</v>
      </c>
      <c r="X29" s="3"/>
      <c r="Y29" s="3"/>
      <c r="Z29" s="3"/>
      <c r="AA29" s="3"/>
      <c r="AB29" s="3" t="n">
        <v>27</v>
      </c>
      <c r="AC29" s="3" t="n">
        <v>1</v>
      </c>
      <c r="AD29" s="6" t="s">
        <v>46</v>
      </c>
      <c r="AE29" s="3" t="s">
        <v>66</v>
      </c>
      <c r="AF29" s="6" t="s">
        <v>46</v>
      </c>
      <c r="AG29" s="6" t="s">
        <v>46</v>
      </c>
      <c r="AH29" s="3"/>
      <c r="AI29" s="3"/>
      <c r="AJ29" s="3"/>
      <c r="AK29" s="3"/>
      <c r="AL29" s="7" t="n">
        <f aca="false">IF(A29="","",IF(COUNTIF(A29:A$2001,A29)=1,1,0))</f>
        <v>1</v>
      </c>
      <c r="AM29" s="7" t="n">
        <f aca="true">IF(I29="","",TODAY()-I29)</f>
        <v>2080</v>
      </c>
      <c r="AN29" s="7" t="n">
        <f aca="false">IF(A29="","",IF(AND(E29&lt;&gt;"33 確認済",E29&lt;&gt;"36 送付中"),1,0))</f>
        <v>1</v>
      </c>
      <c r="AO29" s="7" t="n">
        <f aca="false">IF(A29="","",IF(AG29&lt;&gt;"",1,0))</f>
        <v>1</v>
      </c>
    </row>
    <row r="30" customFormat="false" ht="15" hidden="false" customHeight="false" outlineLevel="0" collapsed="false">
      <c r="A30" s="3" t="n">
        <v>202060002824</v>
      </c>
      <c r="B30" s="3"/>
      <c r="C30" s="3"/>
      <c r="D30" s="3" t="n">
        <v>40</v>
      </c>
      <c r="E30" s="3" t="s">
        <v>49</v>
      </c>
      <c r="F30" s="3" t="n">
        <v>20</v>
      </c>
      <c r="G30" s="3" t="s">
        <v>50</v>
      </c>
      <c r="H30" s="4" t="n">
        <v>43497</v>
      </c>
      <c r="I30" s="5" t="n">
        <v>44232</v>
      </c>
      <c r="J30" s="4" t="n">
        <v>44236</v>
      </c>
      <c r="K30" s="4" t="n">
        <v>44236</v>
      </c>
      <c r="L30" s="3"/>
      <c r="M30" s="3"/>
      <c r="N30" s="3"/>
      <c r="O30" s="3" t="s">
        <v>62</v>
      </c>
      <c r="P30" s="3"/>
      <c r="Q30" s="3"/>
      <c r="R30" s="3"/>
      <c r="S30" s="3"/>
      <c r="T30" s="3"/>
      <c r="U30" s="3"/>
      <c r="V30" s="3"/>
      <c r="W30" s="6" t="s">
        <v>63</v>
      </c>
      <c r="X30" s="3"/>
      <c r="Y30" s="3"/>
      <c r="Z30" s="3"/>
      <c r="AA30" s="3"/>
      <c r="AB30" s="3" t="n">
        <v>51</v>
      </c>
      <c r="AC30" s="3" t="n">
        <v>0</v>
      </c>
      <c r="AD30" s="6" t="s">
        <v>43</v>
      </c>
      <c r="AE30" s="3" t="s">
        <v>72</v>
      </c>
      <c r="AF30" s="6" t="s">
        <v>43</v>
      </c>
      <c r="AG30" s="6" t="s">
        <v>43</v>
      </c>
      <c r="AH30" s="3"/>
      <c r="AI30" s="3"/>
      <c r="AJ30" s="3"/>
      <c r="AK30" s="3"/>
      <c r="AL30" s="7" t="n">
        <f aca="false">IF(A30="","",IF(COUNTIF(A30:A$2001,A30)=1,1,0))</f>
        <v>1</v>
      </c>
      <c r="AM30" s="7" t="n">
        <f aca="true">IF(I30="","",TODAY()-I30)</f>
        <v>2058</v>
      </c>
      <c r="AN30" s="7" t="n">
        <f aca="false">IF(A30="","",IF(AND(E30&lt;&gt;"33 確認済",E30&lt;&gt;"36 送付中"),1,0))</f>
        <v>1</v>
      </c>
      <c r="AO30" s="7" t="n">
        <f aca="false">IF(A30="","",IF(AG30&lt;&gt;"",1,0))</f>
        <v>1</v>
      </c>
    </row>
    <row r="31" customFormat="false" ht="15" hidden="false" customHeight="false" outlineLevel="0" collapsed="false">
      <c r="A31" s="3" t="n">
        <v>202060003171</v>
      </c>
      <c r="B31" s="3"/>
      <c r="C31" s="3"/>
      <c r="D31" s="3" t="n">
        <v>31</v>
      </c>
      <c r="E31" s="3" t="s">
        <v>41</v>
      </c>
      <c r="F31" s="3"/>
      <c r="G31" s="3"/>
      <c r="H31" s="4" t="n">
        <v>44280</v>
      </c>
      <c r="I31" s="5" t="n">
        <v>44281</v>
      </c>
      <c r="J31" s="4" t="n">
        <v>44302</v>
      </c>
      <c r="K31" s="4" t="n">
        <v>44302</v>
      </c>
      <c r="L31" s="3"/>
      <c r="M31" s="3"/>
      <c r="N31" s="3"/>
      <c r="O31" s="3" t="s">
        <v>42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 t="n">
        <v>50</v>
      </c>
      <c r="AC31" s="3" t="n">
        <v>0</v>
      </c>
      <c r="AD31" s="6" t="s">
        <v>43</v>
      </c>
      <c r="AE31" s="3" t="s">
        <v>59</v>
      </c>
      <c r="AF31" s="6" t="s">
        <v>43</v>
      </c>
      <c r="AG31" s="6" t="s">
        <v>43</v>
      </c>
      <c r="AH31" s="6" t="s">
        <v>43</v>
      </c>
      <c r="AI31" s="3"/>
      <c r="AJ31" s="3"/>
      <c r="AK31" s="3"/>
      <c r="AL31" s="7" t="n">
        <f aca="false">IF(A31="","",IF(COUNTIF(A31:A$2001,A31)=1,1,0))</f>
        <v>1</v>
      </c>
      <c r="AM31" s="7" t="n">
        <f aca="true">IF(I31="","",TODAY()-I31)</f>
        <v>2009</v>
      </c>
      <c r="AN31" s="7" t="n">
        <f aca="false">IF(A31="","",IF(AND(E31&lt;&gt;"33 確認済",E31&lt;&gt;"36 送付中"),1,0))</f>
        <v>1</v>
      </c>
      <c r="AO31" s="7" t="n">
        <f aca="false">IF(A31="","",IF(AG31&lt;&gt;"",1,0))</f>
        <v>1</v>
      </c>
    </row>
    <row r="32" customFormat="false" ht="15" hidden="false" customHeight="false" outlineLevel="0" collapsed="false">
      <c r="A32" s="3" t="n">
        <v>202360000913</v>
      </c>
      <c r="B32" s="3"/>
      <c r="C32" s="3"/>
      <c r="D32" s="3" t="n">
        <v>31</v>
      </c>
      <c r="E32" s="3" t="s">
        <v>41</v>
      </c>
      <c r="F32" s="3"/>
      <c r="G32" s="3"/>
      <c r="H32" s="4" t="n">
        <v>45062</v>
      </c>
      <c r="I32" s="5" t="n">
        <v>45096</v>
      </c>
      <c r="J32" s="4" t="n">
        <v>45098</v>
      </c>
      <c r="K32" s="4" t="n">
        <v>45148</v>
      </c>
      <c r="L32" s="3"/>
      <c r="M32" s="3"/>
      <c r="N32" s="3"/>
      <c r="O32" s="3" t="s">
        <v>42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 t="n">
        <v>3</v>
      </c>
      <c r="AC32" s="3" t="n">
        <v>0</v>
      </c>
      <c r="AD32" s="6" t="s">
        <v>43</v>
      </c>
      <c r="AE32" s="3" t="s">
        <v>73</v>
      </c>
      <c r="AF32" s="3"/>
      <c r="AG32" s="3"/>
      <c r="AH32" s="3"/>
      <c r="AI32" s="3"/>
      <c r="AJ32" s="3"/>
      <c r="AK32" s="3"/>
      <c r="AL32" s="7" t="n">
        <f aca="false">IF(A32="","",IF(COUNTIF(A32:A$2001,A32)=1,1,0))</f>
        <v>1</v>
      </c>
      <c r="AM32" s="7" t="n">
        <f aca="true">IF(I32="","",TODAY()-I32)</f>
        <v>1194</v>
      </c>
      <c r="AN32" s="7" t="n">
        <f aca="false">IF(A32="","",IF(AND(E32&lt;&gt;"33 確認済",E32&lt;&gt;"36 送付中"),1,0))</f>
        <v>1</v>
      </c>
      <c r="AO32" s="7" t="n">
        <f aca="false">IF(A32="","",IF(AG32&lt;&gt;"",1,0))</f>
        <v>0</v>
      </c>
    </row>
    <row r="33" customFormat="false" ht="15" hidden="false" customHeight="false" outlineLevel="0" collapsed="false">
      <c r="A33" s="3" t="n">
        <v>202360003315</v>
      </c>
      <c r="B33" s="3"/>
      <c r="C33" s="3"/>
      <c r="D33" s="3" t="n">
        <v>31</v>
      </c>
      <c r="E33" s="3" t="s">
        <v>41</v>
      </c>
      <c r="F33" s="3"/>
      <c r="G33" s="3"/>
      <c r="H33" s="4" t="n">
        <v>45370</v>
      </c>
      <c r="I33" s="5" t="n">
        <v>45370</v>
      </c>
      <c r="J33" s="4" t="n">
        <v>45575</v>
      </c>
      <c r="K33" s="4" t="n">
        <v>45575</v>
      </c>
      <c r="L33" s="3"/>
      <c r="M33" s="3"/>
      <c r="N33" s="3"/>
      <c r="O33" s="3" t="s">
        <v>42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 t="n">
        <v>50</v>
      </c>
      <c r="AC33" s="3" t="n">
        <v>0</v>
      </c>
      <c r="AD33" s="6" t="s">
        <v>43</v>
      </c>
      <c r="AE33" s="3" t="s">
        <v>59</v>
      </c>
      <c r="AF33" s="6" t="s">
        <v>43</v>
      </c>
      <c r="AG33" s="6" t="s">
        <v>43</v>
      </c>
      <c r="AH33" s="6" t="s">
        <v>43</v>
      </c>
      <c r="AI33" s="3"/>
      <c r="AJ33" s="3"/>
      <c r="AK33" s="3"/>
      <c r="AL33" s="7" t="n">
        <f aca="false">IF(A33="","",IF(COUNTIF(A33:A$2001,A33)=1,1,0))</f>
        <v>1</v>
      </c>
      <c r="AM33" s="7" t="n">
        <f aca="true">IF(I33="","",TODAY()-I33)</f>
        <v>920</v>
      </c>
      <c r="AN33" s="7" t="n">
        <f aca="false">IF(A33="","",IF(AND(E33&lt;&gt;"33 確認済",E33&lt;&gt;"36 送付中"),1,0))</f>
        <v>1</v>
      </c>
      <c r="AO33" s="7" t="n">
        <f aca="false">IF(A33="","",IF(AG33&lt;&gt;"",1,0))</f>
        <v>1</v>
      </c>
    </row>
    <row r="34" customFormat="false" ht="15" hidden="false" customHeight="false" outlineLevel="0" collapsed="false">
      <c r="A34" s="3" t="n">
        <v>202360003320</v>
      </c>
      <c r="B34" s="3"/>
      <c r="C34" s="3"/>
      <c r="D34" s="3" t="n">
        <v>31</v>
      </c>
      <c r="E34" s="3" t="s">
        <v>41</v>
      </c>
      <c r="F34" s="3"/>
      <c r="G34" s="3"/>
      <c r="H34" s="4" t="n">
        <v>45352</v>
      </c>
      <c r="I34" s="5" t="n">
        <v>45370</v>
      </c>
      <c r="J34" s="4" t="n">
        <v>45373</v>
      </c>
      <c r="K34" s="4" t="n">
        <v>45373</v>
      </c>
      <c r="L34" s="3"/>
      <c r="M34" s="3"/>
      <c r="N34" s="3"/>
      <c r="O34" s="3" t="s">
        <v>56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 t="n">
        <v>23</v>
      </c>
      <c r="AC34" s="3" t="n">
        <v>1</v>
      </c>
      <c r="AD34" s="6" t="s">
        <v>46</v>
      </c>
      <c r="AE34" s="3" t="s">
        <v>52</v>
      </c>
      <c r="AF34" s="3"/>
      <c r="AG34" s="3"/>
      <c r="AH34" s="3"/>
      <c r="AI34" s="3"/>
      <c r="AJ34" s="3"/>
      <c r="AK34" s="3"/>
      <c r="AL34" s="7" t="n">
        <f aca="false">IF(A34="","",IF(COUNTIF(A34:A$2001,A34)=1,1,0))</f>
        <v>0</v>
      </c>
      <c r="AM34" s="7" t="n">
        <f aca="true">IF(I34="","",TODAY()-I34)</f>
        <v>920</v>
      </c>
      <c r="AN34" s="7" t="n">
        <f aca="false">IF(A34="","",IF(AND(E34&lt;&gt;"33 確認済",E34&lt;&gt;"36 送付中"),1,0))</f>
        <v>1</v>
      </c>
      <c r="AO34" s="7" t="n">
        <f aca="false">IF(A34="","",IF(AG34&lt;&gt;"",1,0))</f>
        <v>0</v>
      </c>
    </row>
    <row r="35" customFormat="false" ht="15" hidden="false" customHeight="false" outlineLevel="0" collapsed="false">
      <c r="A35" s="3" t="n">
        <v>202360003320</v>
      </c>
      <c r="B35" s="3"/>
      <c r="C35" s="3"/>
      <c r="D35" s="3" t="n">
        <v>31</v>
      </c>
      <c r="E35" s="3" t="s">
        <v>41</v>
      </c>
      <c r="F35" s="3"/>
      <c r="G35" s="3"/>
      <c r="H35" s="4" t="n">
        <v>45352</v>
      </c>
      <c r="I35" s="5" t="n">
        <v>45370</v>
      </c>
      <c r="J35" s="4" t="n">
        <v>45373</v>
      </c>
      <c r="K35" s="4" t="n">
        <v>45373</v>
      </c>
      <c r="L35" s="3"/>
      <c r="M35" s="3"/>
      <c r="N35" s="3"/>
      <c r="O35" s="3" t="s">
        <v>56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 t="n">
        <v>23</v>
      </c>
      <c r="AC35" s="3" t="n">
        <v>1</v>
      </c>
      <c r="AD35" s="6" t="s">
        <v>46</v>
      </c>
      <c r="AE35" s="3" t="s">
        <v>53</v>
      </c>
      <c r="AF35" s="3"/>
      <c r="AG35" s="3"/>
      <c r="AH35" s="3"/>
      <c r="AI35" s="3"/>
      <c r="AJ35" s="3"/>
      <c r="AK35" s="3"/>
      <c r="AL35" s="7" t="n">
        <f aca="false">IF(A35="","",IF(COUNTIF(A35:A$2001,A35)=1,1,0))</f>
        <v>1</v>
      </c>
      <c r="AM35" s="7" t="n">
        <f aca="true">IF(I35="","",TODAY()-I35)</f>
        <v>920</v>
      </c>
      <c r="AN35" s="7" t="n">
        <f aca="false">IF(A35="","",IF(AND(E35&lt;&gt;"33 確認済",E35&lt;&gt;"36 送付中"),1,0))</f>
        <v>1</v>
      </c>
      <c r="AO35" s="7" t="n">
        <f aca="false">IF(A35="","",IF(AG35&lt;&gt;"",1,0))</f>
        <v>0</v>
      </c>
    </row>
    <row r="36" customFormat="false" ht="15" hidden="false" customHeight="false" outlineLevel="0" collapsed="false">
      <c r="A36" s="3" t="n">
        <v>202460000110</v>
      </c>
      <c r="B36" s="3"/>
      <c r="C36" s="3"/>
      <c r="D36" s="3" t="n">
        <v>20</v>
      </c>
      <c r="E36" s="3" t="s">
        <v>69</v>
      </c>
      <c r="F36" s="3" t="n">
        <v>20</v>
      </c>
      <c r="G36" s="3" t="s">
        <v>50</v>
      </c>
      <c r="H36" s="4" t="n">
        <v>45383</v>
      </c>
      <c r="I36" s="5" t="n">
        <v>45405</v>
      </c>
      <c r="J36" s="4" t="n">
        <v>45387</v>
      </c>
      <c r="K36" s="4" t="n">
        <v>45617</v>
      </c>
      <c r="L36" s="3"/>
      <c r="M36" s="3"/>
      <c r="N36" s="3"/>
      <c r="O36" s="3" t="s">
        <v>62</v>
      </c>
      <c r="P36" s="3"/>
      <c r="Q36" s="3"/>
      <c r="R36" s="3"/>
      <c r="S36" s="3"/>
      <c r="T36" s="3"/>
      <c r="U36" s="3"/>
      <c r="V36" s="3"/>
      <c r="W36" s="6" t="s">
        <v>63</v>
      </c>
      <c r="X36" s="3"/>
      <c r="Y36" s="3"/>
      <c r="Z36" s="3"/>
      <c r="AA36" s="3"/>
      <c r="AB36" s="3" t="n">
        <v>22</v>
      </c>
      <c r="AC36" s="3" t="n">
        <v>1</v>
      </c>
      <c r="AD36" s="6" t="s">
        <v>46</v>
      </c>
      <c r="AE36" s="3" t="s">
        <v>47</v>
      </c>
      <c r="AF36" s="6" t="s">
        <v>46</v>
      </c>
      <c r="AG36" s="6" t="s">
        <v>46</v>
      </c>
      <c r="AH36" s="3"/>
      <c r="AI36" s="3"/>
      <c r="AJ36" s="3"/>
      <c r="AK36" s="3"/>
      <c r="AL36" s="7" t="n">
        <f aca="false">IF(A36="","",IF(COUNTIF(A36:A$2001,A36)=1,1,0))</f>
        <v>1</v>
      </c>
      <c r="AM36" s="7" t="n">
        <f aca="true">IF(I36="","",TODAY()-I36)</f>
        <v>885</v>
      </c>
      <c r="AN36" s="7" t="n">
        <f aca="false">IF(A36="","",IF(AND(E36&lt;&gt;"33 確認済",E36&lt;&gt;"36 送付中"),1,0))</f>
        <v>1</v>
      </c>
      <c r="AO36" s="7" t="n">
        <f aca="false">IF(A36="","",IF(AG36&lt;&gt;"",1,0))</f>
        <v>1</v>
      </c>
    </row>
    <row r="37" customFormat="false" ht="15" hidden="false" customHeight="false" outlineLevel="0" collapsed="false">
      <c r="A37" s="3" t="n">
        <v>202460000121</v>
      </c>
      <c r="B37" s="3"/>
      <c r="C37" s="3"/>
      <c r="D37" s="3" t="n">
        <v>40</v>
      </c>
      <c r="E37" s="3" t="s">
        <v>49</v>
      </c>
      <c r="F37" s="3" t="n">
        <v>20</v>
      </c>
      <c r="G37" s="3" t="s">
        <v>50</v>
      </c>
      <c r="H37" s="4" t="n">
        <v>45383</v>
      </c>
      <c r="I37" s="5" t="n">
        <v>45386</v>
      </c>
      <c r="J37" s="4" t="n">
        <v>45390</v>
      </c>
      <c r="K37" s="4" t="n">
        <v>45390</v>
      </c>
      <c r="L37" s="3"/>
      <c r="M37" s="3"/>
      <c r="N37" s="3"/>
      <c r="O37" s="3" t="s">
        <v>62</v>
      </c>
      <c r="P37" s="3"/>
      <c r="Q37" s="3"/>
      <c r="R37" s="3"/>
      <c r="S37" s="3"/>
      <c r="T37" s="3"/>
      <c r="U37" s="3"/>
      <c r="V37" s="3"/>
      <c r="W37" s="6" t="s">
        <v>63</v>
      </c>
      <c r="X37" s="3"/>
      <c r="Y37" s="3"/>
      <c r="Z37" s="3"/>
      <c r="AA37" s="3"/>
      <c r="AB37" s="3" t="n">
        <v>47</v>
      </c>
      <c r="AC37" s="3" t="n">
        <v>0</v>
      </c>
      <c r="AD37" s="6" t="s">
        <v>43</v>
      </c>
      <c r="AE37" s="3" t="s">
        <v>44</v>
      </c>
      <c r="AF37" s="6" t="s">
        <v>43</v>
      </c>
      <c r="AG37" s="6" t="s">
        <v>43</v>
      </c>
      <c r="AH37" s="6" t="s">
        <v>43</v>
      </c>
      <c r="AI37" s="3"/>
      <c r="AJ37" s="3"/>
      <c r="AK37" s="3"/>
      <c r="AL37" s="7" t="n">
        <f aca="false">IF(A37="","",IF(COUNTIF(A37:A$2001,A37)=1,1,0))</f>
        <v>1</v>
      </c>
      <c r="AM37" s="7" t="n">
        <f aca="true">IF(I37="","",TODAY()-I37)</f>
        <v>904</v>
      </c>
      <c r="AN37" s="7" t="n">
        <f aca="false">IF(A37="","",IF(AND(E37&lt;&gt;"33 確認済",E37&lt;&gt;"36 送付中"),1,0))</f>
        <v>1</v>
      </c>
      <c r="AO37" s="7" t="n">
        <f aca="false">IF(A37="","",IF(AG37&lt;&gt;"",1,0))</f>
        <v>1</v>
      </c>
    </row>
    <row r="38" customFormat="false" ht="15" hidden="false" customHeight="false" outlineLevel="0" collapsed="false">
      <c r="A38" s="3" t="n">
        <v>202460000142</v>
      </c>
      <c r="B38" s="3"/>
      <c r="C38" s="3"/>
      <c r="D38" s="3" t="n">
        <v>40</v>
      </c>
      <c r="E38" s="3" t="s">
        <v>49</v>
      </c>
      <c r="F38" s="3" t="n">
        <v>20</v>
      </c>
      <c r="G38" s="3" t="s">
        <v>50</v>
      </c>
      <c r="H38" s="4" t="n">
        <v>45413</v>
      </c>
      <c r="I38" s="5" t="n">
        <v>45386</v>
      </c>
      <c r="J38" s="4" t="n">
        <v>45750</v>
      </c>
      <c r="K38" s="4" t="n">
        <v>45750</v>
      </c>
      <c r="L38" s="3"/>
      <c r="M38" s="3"/>
      <c r="N38" s="3"/>
      <c r="O38" s="3" t="s">
        <v>62</v>
      </c>
      <c r="P38" s="3"/>
      <c r="Q38" s="3"/>
      <c r="R38" s="3"/>
      <c r="S38" s="3"/>
      <c r="T38" s="3"/>
      <c r="U38" s="3"/>
      <c r="V38" s="3"/>
      <c r="W38" s="6" t="s">
        <v>63</v>
      </c>
      <c r="X38" s="3"/>
      <c r="Y38" s="3"/>
      <c r="Z38" s="3"/>
      <c r="AA38" s="3"/>
      <c r="AB38" s="3" t="n">
        <v>47</v>
      </c>
      <c r="AC38" s="3" t="n">
        <v>0</v>
      </c>
      <c r="AD38" s="6" t="s">
        <v>43</v>
      </c>
      <c r="AE38" s="3" t="s">
        <v>44</v>
      </c>
      <c r="AF38" s="3"/>
      <c r="AG38" s="6" t="s">
        <v>43</v>
      </c>
      <c r="AH38" s="3"/>
      <c r="AI38" s="3"/>
      <c r="AJ38" s="3"/>
      <c r="AK38" s="3"/>
      <c r="AL38" s="7" t="n">
        <f aca="false">IF(A38="","",IF(COUNTIF(A38:A$2001,A38)=1,1,0))</f>
        <v>1</v>
      </c>
      <c r="AM38" s="7" t="n">
        <f aca="true">IF(I38="","",TODAY()-I38)</f>
        <v>904</v>
      </c>
      <c r="AN38" s="7" t="n">
        <f aca="false">IF(A38="","",IF(AND(E38&lt;&gt;"33 確認済",E38&lt;&gt;"36 送付中"),1,0))</f>
        <v>1</v>
      </c>
      <c r="AO38" s="7" t="n">
        <f aca="false">IF(A38="","",IF(AG38&lt;&gt;"",1,0))</f>
        <v>1</v>
      </c>
    </row>
    <row r="39" customFormat="false" ht="15" hidden="false" customHeight="false" outlineLevel="0" collapsed="false">
      <c r="A39" s="3" t="n">
        <v>202460000609</v>
      </c>
      <c r="B39" s="3"/>
      <c r="C39" s="3"/>
      <c r="D39" s="3" t="n">
        <v>31</v>
      </c>
      <c r="E39" s="3" t="s">
        <v>41</v>
      </c>
      <c r="F39" s="3"/>
      <c r="G39" s="3"/>
      <c r="H39" s="4" t="n">
        <v>45296</v>
      </c>
      <c r="I39" s="5" t="n">
        <v>45413</v>
      </c>
      <c r="J39" s="4" t="n">
        <v>45420</v>
      </c>
      <c r="K39" s="4" t="n">
        <v>45425</v>
      </c>
      <c r="L39" s="3"/>
      <c r="M39" s="3"/>
      <c r="N39" s="3"/>
      <c r="O39" s="3" t="s">
        <v>56</v>
      </c>
      <c r="P39" s="3"/>
      <c r="Q39" s="3"/>
      <c r="R39" s="3"/>
      <c r="S39" s="6" t="s">
        <v>58</v>
      </c>
      <c r="T39" s="3"/>
      <c r="U39" s="3"/>
      <c r="V39" s="3"/>
      <c r="W39" s="3"/>
      <c r="X39" s="3"/>
      <c r="Y39" s="3"/>
      <c r="Z39" s="3"/>
      <c r="AA39" s="3"/>
      <c r="AB39" s="3" t="n">
        <v>99</v>
      </c>
      <c r="AC39" s="3" t="n">
        <v>1</v>
      </c>
      <c r="AD39" s="6" t="s">
        <v>46</v>
      </c>
      <c r="AE39" s="3" t="s">
        <v>61</v>
      </c>
      <c r="AF39" s="6" t="s">
        <v>46</v>
      </c>
      <c r="AG39" s="6" t="s">
        <v>46</v>
      </c>
      <c r="AH39" s="6" t="s">
        <v>46</v>
      </c>
      <c r="AI39" s="3"/>
      <c r="AJ39" s="3"/>
      <c r="AK39" s="3"/>
      <c r="AL39" s="7" t="n">
        <f aca="false">IF(A39="","",IF(COUNTIF(A39:A$2001,A39)=1,1,0))</f>
        <v>1</v>
      </c>
      <c r="AM39" s="7" t="n">
        <f aca="true">IF(I39="","",TODAY()-I39)</f>
        <v>877</v>
      </c>
      <c r="AN39" s="7" t="n">
        <f aca="false">IF(A39="","",IF(AND(E39&lt;&gt;"33 確認済",E39&lt;&gt;"36 送付中"),1,0))</f>
        <v>1</v>
      </c>
      <c r="AO39" s="7" t="n">
        <f aca="false">IF(A39="","",IF(AG39&lt;&gt;"",1,0))</f>
        <v>1</v>
      </c>
    </row>
    <row r="40" customFormat="false" ht="15" hidden="false" customHeight="false" outlineLevel="0" collapsed="false">
      <c r="A40" s="3" t="n">
        <v>202460002704</v>
      </c>
      <c r="B40" s="3"/>
      <c r="C40" s="3"/>
      <c r="D40" s="3" t="n">
        <v>32</v>
      </c>
      <c r="E40" s="3" t="s">
        <v>74</v>
      </c>
      <c r="F40" s="3"/>
      <c r="G40" s="3"/>
      <c r="H40" s="4" t="n">
        <v>45641</v>
      </c>
      <c r="I40" s="5" t="n">
        <v>45642</v>
      </c>
      <c r="J40" s="4" t="n">
        <v>45651</v>
      </c>
      <c r="K40" s="4" t="n">
        <v>45651</v>
      </c>
      <c r="L40" s="3"/>
      <c r="M40" s="3"/>
      <c r="N40" s="3"/>
      <c r="O40" s="3" t="s">
        <v>75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 t="n">
        <v>98</v>
      </c>
      <c r="AC40" s="3" t="n">
        <v>0</v>
      </c>
      <c r="AD40" s="6" t="s">
        <v>43</v>
      </c>
      <c r="AE40" s="3" t="s">
        <v>76</v>
      </c>
      <c r="AF40" s="3"/>
      <c r="AG40" s="6" t="s">
        <v>43</v>
      </c>
      <c r="AH40" s="3"/>
      <c r="AI40" s="3"/>
      <c r="AJ40" s="3"/>
      <c r="AK40" s="3"/>
      <c r="AL40" s="7" t="n">
        <f aca="false">IF(A40="","",IF(COUNTIF(A40:A$2001,A40)=1,1,0))</f>
        <v>1</v>
      </c>
      <c r="AM40" s="7" t="n">
        <f aca="true">IF(I40="","",TODAY()-I40)</f>
        <v>648</v>
      </c>
      <c r="AN40" s="7" t="n">
        <f aca="false">IF(A40="","",IF(AND(E40&lt;&gt;"33 確認済",E40&lt;&gt;"36 送付中"),1,0))</f>
        <v>1</v>
      </c>
      <c r="AO40" s="7" t="n">
        <f aca="false">IF(A40="","",IF(AG40&lt;&gt;"",1,0))</f>
        <v>1</v>
      </c>
    </row>
    <row r="41" customFormat="false" ht="15" hidden="false" customHeight="false" outlineLevel="0" collapsed="false">
      <c r="A41" s="3" t="n">
        <v>202460002924</v>
      </c>
      <c r="B41" s="3"/>
      <c r="C41" s="3"/>
      <c r="D41" s="3" t="n">
        <v>40</v>
      </c>
      <c r="E41" s="3" t="s">
        <v>49</v>
      </c>
      <c r="F41" s="3" t="n">
        <v>20</v>
      </c>
      <c r="G41" s="3" t="s">
        <v>50</v>
      </c>
      <c r="H41" s="4" t="n">
        <v>45626</v>
      </c>
      <c r="I41" s="5" t="n">
        <v>45681</v>
      </c>
      <c r="J41" s="4" t="n">
        <v>45734</v>
      </c>
      <c r="K41" s="4" t="n">
        <v>45735</v>
      </c>
      <c r="L41" s="3"/>
      <c r="M41" s="3"/>
      <c r="N41" s="3"/>
      <c r="O41" s="3" t="s">
        <v>62</v>
      </c>
      <c r="P41" s="3"/>
      <c r="Q41" s="3"/>
      <c r="R41" s="3"/>
      <c r="S41" s="3"/>
      <c r="T41" s="3"/>
      <c r="U41" s="3"/>
      <c r="V41" s="3"/>
      <c r="W41" s="6" t="s">
        <v>63</v>
      </c>
      <c r="X41" s="3"/>
      <c r="Y41" s="3"/>
      <c r="Z41" s="3"/>
      <c r="AA41" s="3"/>
      <c r="AB41" s="3" t="n">
        <v>22</v>
      </c>
      <c r="AC41" s="3" t="n">
        <v>1</v>
      </c>
      <c r="AD41" s="6" t="s">
        <v>46</v>
      </c>
      <c r="AE41" s="3" t="s">
        <v>47</v>
      </c>
      <c r="AF41" s="6" t="s">
        <v>46</v>
      </c>
      <c r="AG41" s="6" t="s">
        <v>46</v>
      </c>
      <c r="AH41" s="6" t="s">
        <v>46</v>
      </c>
      <c r="AI41" s="3"/>
      <c r="AJ41" s="3"/>
      <c r="AK41" s="3"/>
      <c r="AL41" s="7" t="n">
        <f aca="false">IF(A41="","",IF(COUNTIF(A41:A$2001,A41)=1,1,0))</f>
        <v>1</v>
      </c>
      <c r="AM41" s="7" t="n">
        <f aca="true">IF(I41="","",TODAY()-I41)</f>
        <v>609</v>
      </c>
      <c r="AN41" s="7" t="n">
        <f aca="false">IF(A41="","",IF(AND(E41&lt;&gt;"33 確認済",E41&lt;&gt;"36 送付中"),1,0))</f>
        <v>1</v>
      </c>
      <c r="AO41" s="7" t="n">
        <f aca="false">IF(A41="","",IF(AG41&lt;&gt;"",1,0))</f>
        <v>1</v>
      </c>
    </row>
    <row r="42" customFormat="false" ht="15" hidden="false" customHeight="false" outlineLevel="0" collapsed="false">
      <c r="A42" s="3" t="n">
        <v>202460003120</v>
      </c>
      <c r="B42" s="3"/>
      <c r="C42" s="3"/>
      <c r="D42" s="3" t="n">
        <v>31</v>
      </c>
      <c r="E42" s="3" t="s">
        <v>41</v>
      </c>
      <c r="F42" s="3"/>
      <c r="G42" s="3"/>
      <c r="H42" s="4" t="n">
        <v>45716</v>
      </c>
      <c r="I42" s="5" t="n">
        <v>45716</v>
      </c>
      <c r="J42" s="4" t="n">
        <v>45734</v>
      </c>
      <c r="K42" s="4" t="n">
        <v>45735</v>
      </c>
      <c r="L42" s="3"/>
      <c r="M42" s="3"/>
      <c r="N42" s="3"/>
      <c r="O42" s="3" t="s">
        <v>56</v>
      </c>
      <c r="P42" s="3"/>
      <c r="Q42" s="3"/>
      <c r="R42" s="3"/>
      <c r="S42" s="3"/>
      <c r="T42" s="3"/>
      <c r="U42" s="6" t="s">
        <v>68</v>
      </c>
      <c r="V42" s="3"/>
      <c r="W42" s="3"/>
      <c r="X42" s="3"/>
      <c r="Y42" s="3"/>
      <c r="Z42" s="3"/>
      <c r="AA42" s="3"/>
      <c r="AB42" s="3" t="n">
        <v>51</v>
      </c>
      <c r="AC42" s="3" t="n">
        <v>0</v>
      </c>
      <c r="AD42" s="6" t="s">
        <v>43</v>
      </c>
      <c r="AE42" s="3" t="s">
        <v>72</v>
      </c>
      <c r="AF42" s="3"/>
      <c r="AG42" s="6" t="s">
        <v>43</v>
      </c>
      <c r="AH42" s="3"/>
      <c r="AI42" s="3"/>
      <c r="AJ42" s="3"/>
      <c r="AK42" s="3"/>
      <c r="AL42" s="7" t="n">
        <f aca="false">IF(A42="","",IF(COUNTIF(A42:A$2001,A42)=1,1,0))</f>
        <v>1</v>
      </c>
      <c r="AM42" s="7" t="n">
        <f aca="true">IF(I42="","",TODAY()-I42)</f>
        <v>574</v>
      </c>
      <c r="AN42" s="7" t="n">
        <f aca="false">IF(A42="","",IF(AND(E42&lt;&gt;"33 確認済",E42&lt;&gt;"36 送付中"),1,0))</f>
        <v>1</v>
      </c>
      <c r="AO42" s="7" t="n">
        <f aca="false">IF(A42="","",IF(AG42&lt;&gt;"",1,0))</f>
        <v>1</v>
      </c>
    </row>
    <row r="43" customFormat="false" ht="15" hidden="false" customHeight="false" outlineLevel="0" collapsed="false">
      <c r="A43" s="3" t="n">
        <v>202460003283</v>
      </c>
      <c r="B43" s="3"/>
      <c r="C43" s="3"/>
      <c r="D43" s="3" t="n">
        <v>31</v>
      </c>
      <c r="E43" s="3" t="s">
        <v>41</v>
      </c>
      <c r="F43" s="3"/>
      <c r="G43" s="3"/>
      <c r="H43" s="4" t="n">
        <v>45710</v>
      </c>
      <c r="I43" s="5" t="n">
        <v>45734</v>
      </c>
      <c r="J43" s="4" t="n">
        <v>45737</v>
      </c>
      <c r="K43" s="4" t="n">
        <v>45791</v>
      </c>
      <c r="L43" s="3"/>
      <c r="M43" s="3"/>
      <c r="N43" s="3"/>
      <c r="O43" s="3" t="s">
        <v>42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 t="n">
        <v>23</v>
      </c>
      <c r="AC43" s="3" t="n">
        <v>1</v>
      </c>
      <c r="AD43" s="6" t="s">
        <v>46</v>
      </c>
      <c r="AE43" s="3" t="s">
        <v>52</v>
      </c>
      <c r="AF43" s="3"/>
      <c r="AG43" s="3"/>
      <c r="AH43" s="3"/>
      <c r="AI43" s="3"/>
      <c r="AJ43" s="3"/>
      <c r="AK43" s="3"/>
      <c r="AL43" s="7" t="n">
        <f aca="false">IF(A43="","",IF(COUNTIF(A43:A$2001,A43)=1,1,0))</f>
        <v>0</v>
      </c>
      <c r="AM43" s="7" t="n">
        <f aca="true">IF(I43="","",TODAY()-I43)</f>
        <v>556</v>
      </c>
      <c r="AN43" s="7" t="n">
        <f aca="false">IF(A43="","",IF(AND(E43&lt;&gt;"33 確認済",E43&lt;&gt;"36 送付中"),1,0))</f>
        <v>1</v>
      </c>
      <c r="AO43" s="7" t="n">
        <f aca="false">IF(A43="","",IF(AG43&lt;&gt;"",1,0))</f>
        <v>0</v>
      </c>
    </row>
    <row r="44" customFormat="false" ht="15" hidden="false" customHeight="false" outlineLevel="0" collapsed="false">
      <c r="A44" s="3" t="n">
        <v>202460003283</v>
      </c>
      <c r="B44" s="3"/>
      <c r="C44" s="3"/>
      <c r="D44" s="3" t="n">
        <v>31</v>
      </c>
      <c r="E44" s="3" t="s">
        <v>41</v>
      </c>
      <c r="F44" s="3"/>
      <c r="G44" s="3"/>
      <c r="H44" s="4" t="n">
        <v>45710</v>
      </c>
      <c r="I44" s="5" t="n">
        <v>45734</v>
      </c>
      <c r="J44" s="4" t="n">
        <v>45737</v>
      </c>
      <c r="K44" s="4" t="n">
        <v>45791</v>
      </c>
      <c r="L44" s="3"/>
      <c r="M44" s="3"/>
      <c r="N44" s="3"/>
      <c r="O44" s="3" t="s">
        <v>42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 t="n">
        <v>23</v>
      </c>
      <c r="AC44" s="3" t="n">
        <v>1</v>
      </c>
      <c r="AD44" s="6" t="s">
        <v>46</v>
      </c>
      <c r="AE44" s="3" t="s">
        <v>53</v>
      </c>
      <c r="AF44" s="3"/>
      <c r="AG44" s="3"/>
      <c r="AH44" s="3"/>
      <c r="AI44" s="3"/>
      <c r="AJ44" s="3"/>
      <c r="AK44" s="3"/>
      <c r="AL44" s="7" t="n">
        <f aca="false">IF(A44="","",IF(COUNTIF(A44:A$2001,A44)=1,1,0))</f>
        <v>1</v>
      </c>
      <c r="AM44" s="7" t="n">
        <f aca="true">IF(I44="","",TODAY()-I44)</f>
        <v>556</v>
      </c>
      <c r="AN44" s="7" t="n">
        <f aca="false">IF(A44="","",IF(AND(E44&lt;&gt;"33 確認済",E44&lt;&gt;"36 送付中"),1,0))</f>
        <v>1</v>
      </c>
      <c r="AO44" s="7" t="n">
        <f aca="false">IF(A44="","",IF(AG44&lt;&gt;"",1,0))</f>
        <v>0</v>
      </c>
    </row>
    <row r="45" customFormat="false" ht="15" hidden="false" customHeight="false" outlineLevel="0" collapsed="false">
      <c r="A45" s="3" t="n">
        <v>202560000309</v>
      </c>
      <c r="B45" s="3"/>
      <c r="C45" s="3"/>
      <c r="D45" s="3" t="n">
        <v>31</v>
      </c>
      <c r="E45" s="3" t="s">
        <v>41</v>
      </c>
      <c r="F45" s="3" t="n">
        <v>20</v>
      </c>
      <c r="G45" s="3" t="s">
        <v>50</v>
      </c>
      <c r="H45" s="4" t="n">
        <v>45748</v>
      </c>
      <c r="I45" s="5" t="n">
        <v>45757</v>
      </c>
      <c r="J45" s="4" t="n">
        <v>45911</v>
      </c>
      <c r="K45" s="4" t="n">
        <v>45911</v>
      </c>
      <c r="L45" s="3"/>
      <c r="M45" s="3"/>
      <c r="N45" s="3"/>
      <c r="O45" s="3" t="s">
        <v>56</v>
      </c>
      <c r="P45" s="3"/>
      <c r="Q45" s="3"/>
      <c r="R45" s="3"/>
      <c r="S45" s="3"/>
      <c r="T45" s="3"/>
      <c r="U45" s="6" t="s">
        <v>68</v>
      </c>
      <c r="V45" s="3"/>
      <c r="W45" s="3"/>
      <c r="X45" s="3"/>
      <c r="Y45" s="3"/>
      <c r="Z45" s="3"/>
      <c r="AA45" s="3"/>
      <c r="AB45" s="3" t="n">
        <v>51</v>
      </c>
      <c r="AC45" s="3" t="n">
        <v>0</v>
      </c>
      <c r="AD45" s="6" t="s">
        <v>43</v>
      </c>
      <c r="AE45" s="3" t="s">
        <v>72</v>
      </c>
      <c r="AF45" s="6" t="s">
        <v>43</v>
      </c>
      <c r="AG45" s="6" t="s">
        <v>43</v>
      </c>
      <c r="AH45" s="3"/>
      <c r="AI45" s="3"/>
      <c r="AJ45" s="3"/>
      <c r="AK45" s="3"/>
      <c r="AL45" s="7" t="n">
        <f aca="false">IF(A45="","",IF(COUNTIF(A45:A$2001,A45)=1,1,0))</f>
        <v>1</v>
      </c>
      <c r="AM45" s="7" t="n">
        <f aca="true">IF(I45="","",TODAY()-I45)</f>
        <v>533</v>
      </c>
      <c r="AN45" s="7" t="n">
        <f aca="false">IF(A45="","",IF(AND(E45&lt;&gt;"33 確認済",E45&lt;&gt;"36 送付中"),1,0))</f>
        <v>1</v>
      </c>
      <c r="AO45" s="7" t="n">
        <f aca="false">IF(A45="","",IF(AG45&lt;&gt;"",1,0))</f>
        <v>1</v>
      </c>
    </row>
    <row r="46" customFormat="false" ht="15" hidden="false" customHeight="false" outlineLevel="0" collapsed="false">
      <c r="A46" s="3" t="n">
        <v>202560000569</v>
      </c>
      <c r="B46" s="3"/>
      <c r="C46" s="3"/>
      <c r="D46" s="3" t="n">
        <v>40</v>
      </c>
      <c r="E46" s="3" t="s">
        <v>49</v>
      </c>
      <c r="F46" s="3" t="n">
        <v>20</v>
      </c>
      <c r="G46" s="3" t="s">
        <v>50</v>
      </c>
      <c r="H46" s="4" t="n">
        <v>45748</v>
      </c>
      <c r="I46" s="5" t="n">
        <v>45778</v>
      </c>
      <c r="J46" s="4" t="n">
        <v>45945</v>
      </c>
      <c r="K46" s="4" t="n">
        <v>45945</v>
      </c>
      <c r="L46" s="3"/>
      <c r="M46" s="3"/>
      <c r="N46" s="3"/>
      <c r="O46" s="3" t="s">
        <v>62</v>
      </c>
      <c r="P46" s="3"/>
      <c r="Q46" s="3"/>
      <c r="R46" s="3"/>
      <c r="S46" s="3"/>
      <c r="T46" s="3"/>
      <c r="U46" s="3"/>
      <c r="V46" s="3"/>
      <c r="W46" s="6" t="s">
        <v>63</v>
      </c>
      <c r="X46" s="3"/>
      <c r="Y46" s="3"/>
      <c r="Z46" s="3"/>
      <c r="AA46" s="3"/>
      <c r="AB46" s="3" t="n">
        <v>22</v>
      </c>
      <c r="AC46" s="3" t="n">
        <v>1</v>
      </c>
      <c r="AD46" s="6" t="s">
        <v>46</v>
      </c>
      <c r="AE46" s="3" t="s">
        <v>47</v>
      </c>
      <c r="AF46" s="6" t="s">
        <v>46</v>
      </c>
      <c r="AG46" s="6" t="s">
        <v>46</v>
      </c>
      <c r="AH46" s="6" t="s">
        <v>46</v>
      </c>
      <c r="AI46" s="3"/>
      <c r="AJ46" s="3"/>
      <c r="AK46" s="3"/>
      <c r="AL46" s="7" t="n">
        <f aca="false">IF(A46="","",IF(COUNTIF(A46:A$2001,A46)=1,1,0))</f>
        <v>1</v>
      </c>
      <c r="AM46" s="7" t="n">
        <f aca="true">IF(I46="","",TODAY()-I46)</f>
        <v>512</v>
      </c>
      <c r="AN46" s="7" t="n">
        <f aca="false">IF(A46="","",IF(AND(E46&lt;&gt;"33 確認済",E46&lt;&gt;"36 送付中"),1,0))</f>
        <v>1</v>
      </c>
      <c r="AO46" s="7" t="n">
        <f aca="false">IF(A46="","",IF(AG46&lt;&gt;"",1,0))</f>
        <v>1</v>
      </c>
    </row>
    <row r="47" customFormat="false" ht="15" hidden="false" customHeight="false" outlineLevel="0" collapsed="false">
      <c r="A47" s="3" t="n">
        <v>202560000773</v>
      </c>
      <c r="B47" s="3"/>
      <c r="C47" s="3"/>
      <c r="D47" s="3" t="n">
        <v>32</v>
      </c>
      <c r="E47" s="3" t="s">
        <v>74</v>
      </c>
      <c r="F47" s="3" t="n">
        <v>30</v>
      </c>
      <c r="G47" s="3" t="s">
        <v>77</v>
      </c>
      <c r="H47" s="4" t="n">
        <v>45804</v>
      </c>
      <c r="I47" s="5" t="n">
        <v>45804</v>
      </c>
      <c r="J47" s="4" t="n">
        <v>45806</v>
      </c>
      <c r="K47" s="4" t="n">
        <v>45832</v>
      </c>
      <c r="L47" s="3"/>
      <c r="M47" s="3"/>
      <c r="N47" s="3"/>
      <c r="O47" s="3" t="s">
        <v>78</v>
      </c>
      <c r="P47" s="3"/>
      <c r="Q47" s="3"/>
      <c r="R47" s="3"/>
      <c r="S47" s="3"/>
      <c r="T47" s="3"/>
      <c r="U47" s="3"/>
      <c r="V47" s="6" t="s">
        <v>79</v>
      </c>
      <c r="W47" s="3"/>
      <c r="X47" s="3"/>
      <c r="Y47" s="3"/>
      <c r="Z47" s="3"/>
      <c r="AA47" s="3"/>
      <c r="AB47" s="3" t="n">
        <v>50</v>
      </c>
      <c r="AC47" s="3" t="n">
        <v>0</v>
      </c>
      <c r="AD47" s="6" t="s">
        <v>43</v>
      </c>
      <c r="AE47" s="3" t="s">
        <v>59</v>
      </c>
      <c r="AF47" s="6" t="s">
        <v>43</v>
      </c>
      <c r="AG47" s="6" t="s">
        <v>43</v>
      </c>
      <c r="AH47" s="6" t="s">
        <v>43</v>
      </c>
      <c r="AI47" s="3"/>
      <c r="AJ47" s="3"/>
      <c r="AK47" s="3"/>
      <c r="AL47" s="7" t="n">
        <f aca="false">IF(A47="","",IF(COUNTIF(A47:A$2001,A47)=1,1,0))</f>
        <v>1</v>
      </c>
      <c r="AM47" s="7" t="n">
        <f aca="true">IF(I47="","",TODAY()-I47)</f>
        <v>486</v>
      </c>
      <c r="AN47" s="7" t="n">
        <f aca="false">IF(A47="","",IF(AND(E47&lt;&gt;"33 確認済",E47&lt;&gt;"36 送付中"),1,0))</f>
        <v>1</v>
      </c>
      <c r="AO47" s="7" t="n">
        <f aca="false">IF(A47="","",IF(AG47&lt;&gt;"",1,0))</f>
        <v>1</v>
      </c>
    </row>
    <row r="48" customFormat="false" ht="15" hidden="false" customHeight="false" outlineLevel="0" collapsed="false">
      <c r="A48" s="3" t="n">
        <v>202560001201</v>
      </c>
      <c r="B48" s="3"/>
      <c r="C48" s="3"/>
      <c r="D48" s="3" t="n">
        <v>31</v>
      </c>
      <c r="E48" s="3" t="s">
        <v>41</v>
      </c>
      <c r="F48" s="3"/>
      <c r="G48" s="3"/>
      <c r="H48" s="4" t="n">
        <v>45843</v>
      </c>
      <c r="I48" s="5" t="n">
        <v>45875</v>
      </c>
      <c r="J48" s="4" t="n">
        <v>45979</v>
      </c>
      <c r="K48" s="4" t="n">
        <v>45979</v>
      </c>
      <c r="L48" s="3"/>
      <c r="M48" s="3"/>
      <c r="N48" s="3"/>
      <c r="O48" s="3" t="s">
        <v>42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 t="n">
        <v>3</v>
      </c>
      <c r="AC48" s="3" t="n">
        <v>0</v>
      </c>
      <c r="AD48" s="6" t="s">
        <v>43</v>
      </c>
      <c r="AE48" s="3" t="s">
        <v>73</v>
      </c>
      <c r="AF48" s="6" t="s">
        <v>43</v>
      </c>
      <c r="AG48" s="6" t="s">
        <v>43</v>
      </c>
      <c r="AH48" s="6" t="s">
        <v>43</v>
      </c>
      <c r="AI48" s="3"/>
      <c r="AJ48" s="3"/>
      <c r="AK48" s="3"/>
      <c r="AL48" s="7" t="n">
        <f aca="false">IF(A48="","",IF(COUNTIF(A48:A$2001,A48)=1,1,0))</f>
        <v>1</v>
      </c>
      <c r="AM48" s="7" t="n">
        <f aca="true">IF(I48="","",TODAY()-I48)</f>
        <v>415</v>
      </c>
      <c r="AN48" s="7" t="n">
        <f aca="false">IF(A48="","",IF(AND(E48&lt;&gt;"33 確認済",E48&lt;&gt;"36 送付中"),1,0))</f>
        <v>1</v>
      </c>
      <c r="AO48" s="7" t="n">
        <f aca="false">IF(A48="","",IF(AG48&lt;&gt;"",1,0))</f>
        <v>1</v>
      </c>
    </row>
    <row r="49" customFormat="false" ht="15" hidden="false" customHeight="false" outlineLevel="0" collapsed="false">
      <c r="A49" s="3" t="n">
        <v>202560001622</v>
      </c>
      <c r="B49" s="3"/>
      <c r="C49" s="3"/>
      <c r="D49" s="3" t="n">
        <v>40</v>
      </c>
      <c r="E49" s="3" t="s">
        <v>49</v>
      </c>
      <c r="F49" s="3" t="n">
        <v>20</v>
      </c>
      <c r="G49" s="3" t="s">
        <v>50</v>
      </c>
      <c r="H49" s="4" t="n">
        <v>45204</v>
      </c>
      <c r="I49" s="5" t="n">
        <v>45924</v>
      </c>
      <c r="J49" s="4" t="n">
        <v>45925</v>
      </c>
      <c r="K49" s="4" t="n">
        <v>45925</v>
      </c>
      <c r="L49" s="3"/>
      <c r="M49" s="3"/>
      <c r="N49" s="3"/>
      <c r="O49" s="3" t="s">
        <v>62</v>
      </c>
      <c r="P49" s="3"/>
      <c r="Q49" s="3"/>
      <c r="R49" s="3"/>
      <c r="S49" s="3"/>
      <c r="T49" s="3"/>
      <c r="U49" s="3"/>
      <c r="V49" s="3"/>
      <c r="W49" s="6" t="s">
        <v>63</v>
      </c>
      <c r="X49" s="3"/>
      <c r="Y49" s="3"/>
      <c r="Z49" s="3"/>
      <c r="AA49" s="3"/>
      <c r="AB49" s="3" t="n">
        <v>3</v>
      </c>
      <c r="AC49" s="3" t="n">
        <v>0</v>
      </c>
      <c r="AD49" s="6" t="s">
        <v>43</v>
      </c>
      <c r="AE49" s="3" t="s">
        <v>73</v>
      </c>
      <c r="AF49" s="3"/>
      <c r="AG49" s="3"/>
      <c r="AH49" s="3"/>
      <c r="AI49" s="3"/>
      <c r="AJ49" s="3"/>
      <c r="AK49" s="3"/>
      <c r="AL49" s="7" t="n">
        <f aca="false">IF(A49="","",IF(COUNTIF(A49:A$2001,A49)=1,1,0))</f>
        <v>1</v>
      </c>
      <c r="AM49" s="7" t="n">
        <f aca="true">IF(I49="","",TODAY()-I49)</f>
        <v>366</v>
      </c>
      <c r="AN49" s="7" t="n">
        <f aca="false">IF(A49="","",IF(AND(E49&lt;&gt;"33 確認済",E49&lt;&gt;"36 送付中"),1,0))</f>
        <v>1</v>
      </c>
      <c r="AO49" s="7" t="n">
        <f aca="false">IF(A49="","",IF(AG49&lt;&gt;"",1,0))</f>
        <v>0</v>
      </c>
    </row>
    <row r="50" customFormat="false" ht="15" hidden="false" customHeight="false" outlineLevel="0" collapsed="false">
      <c r="A50" s="3" t="n">
        <v>202560001758</v>
      </c>
      <c r="B50" s="3"/>
      <c r="C50" s="3"/>
      <c r="D50" s="3" t="n">
        <v>40</v>
      </c>
      <c r="E50" s="3" t="s">
        <v>49</v>
      </c>
      <c r="F50" s="3" t="n">
        <v>20</v>
      </c>
      <c r="G50" s="3" t="s">
        <v>50</v>
      </c>
      <c r="H50" s="4" t="n">
        <v>45382</v>
      </c>
      <c r="I50" s="5" t="n">
        <v>45952</v>
      </c>
      <c r="J50" s="4" t="n">
        <v>45957</v>
      </c>
      <c r="K50" s="4" t="n">
        <v>45957</v>
      </c>
      <c r="L50" s="3"/>
      <c r="M50" s="3"/>
      <c r="N50" s="3"/>
      <c r="O50" s="3" t="s">
        <v>51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 t="n">
        <v>22</v>
      </c>
      <c r="AC50" s="3" t="n">
        <v>1</v>
      </c>
      <c r="AD50" s="6" t="s">
        <v>46</v>
      </c>
      <c r="AE50" s="3" t="s">
        <v>47</v>
      </c>
      <c r="AF50" s="6" t="s">
        <v>46</v>
      </c>
      <c r="AG50" s="6" t="s">
        <v>46</v>
      </c>
      <c r="AH50" s="6" t="s">
        <v>46</v>
      </c>
      <c r="AI50" s="3"/>
      <c r="AJ50" s="3"/>
      <c r="AK50" s="3"/>
      <c r="AL50" s="7" t="n">
        <f aca="false">IF(A50="","",IF(COUNTIF(A50:A$2001,A50)=1,1,0))</f>
        <v>1</v>
      </c>
      <c r="AM50" s="7" t="n">
        <f aca="true">IF(I50="","",TODAY()-I50)</f>
        <v>338</v>
      </c>
      <c r="AN50" s="7" t="n">
        <f aca="false">IF(A50="","",IF(AND(E50&lt;&gt;"33 確認済",E50&lt;&gt;"36 送付中"),1,0))</f>
        <v>1</v>
      </c>
      <c r="AO50" s="7" t="n">
        <f aca="false">IF(A50="","",IF(AG50&lt;&gt;"",1,0))</f>
        <v>1</v>
      </c>
    </row>
    <row r="51" customFormat="false" ht="15" hidden="false" customHeight="false" outlineLevel="0" collapsed="false">
      <c r="A51" s="3" t="n">
        <v>202560001779</v>
      </c>
      <c r="B51" s="3"/>
      <c r="C51" s="3"/>
      <c r="D51" s="3" t="n">
        <v>40</v>
      </c>
      <c r="E51" s="3" t="s">
        <v>49</v>
      </c>
      <c r="F51" s="3" t="n">
        <v>20</v>
      </c>
      <c r="G51" s="3" t="s">
        <v>50</v>
      </c>
      <c r="H51" s="3"/>
      <c r="I51" s="5" t="n">
        <v>45930</v>
      </c>
      <c r="J51" s="4" t="n">
        <v>45931</v>
      </c>
      <c r="K51" s="4" t="n">
        <v>45933</v>
      </c>
      <c r="L51" s="3"/>
      <c r="M51" s="3"/>
      <c r="N51" s="3"/>
      <c r="O51" s="3" t="s">
        <v>51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6" t="s">
        <v>43</v>
      </c>
      <c r="AE51" s="3"/>
      <c r="AF51" s="3"/>
      <c r="AG51" s="3"/>
      <c r="AH51" s="3"/>
      <c r="AI51" s="3"/>
      <c r="AJ51" s="6" t="s">
        <v>80</v>
      </c>
      <c r="AK51" s="3"/>
      <c r="AL51" s="7" t="n">
        <f aca="false">IF(A51="","",IF(COUNTIF(A51:A$2001,A51)=1,1,0))</f>
        <v>1</v>
      </c>
      <c r="AM51" s="7" t="n">
        <f aca="true">IF(I51="","",TODAY()-I51)</f>
        <v>360</v>
      </c>
      <c r="AN51" s="7" t="n">
        <f aca="false">IF(A51="","",IF(AND(E51&lt;&gt;"33 確認済",E51&lt;&gt;"36 送付中"),1,0))</f>
        <v>1</v>
      </c>
      <c r="AO51" s="7" t="n">
        <f aca="false">IF(A51="","",IF(AG51&lt;&gt;"",1,0))</f>
        <v>0</v>
      </c>
    </row>
    <row r="52" customFormat="false" ht="15" hidden="false" customHeight="false" outlineLevel="0" collapsed="false">
      <c r="A52" s="3" t="n">
        <v>202560002505</v>
      </c>
      <c r="B52" s="3"/>
      <c r="C52" s="3"/>
      <c r="D52" s="3" t="n">
        <v>40</v>
      </c>
      <c r="E52" s="3" t="s">
        <v>49</v>
      </c>
      <c r="F52" s="3" t="n">
        <v>20</v>
      </c>
      <c r="G52" s="3" t="s">
        <v>50</v>
      </c>
      <c r="H52" s="4" t="n">
        <v>46006</v>
      </c>
      <c r="I52" s="5" t="n">
        <v>46017</v>
      </c>
      <c r="J52" s="4" t="n">
        <v>46142</v>
      </c>
      <c r="K52" s="4" t="n">
        <v>46142</v>
      </c>
      <c r="L52" s="3"/>
      <c r="M52" s="3"/>
      <c r="N52" s="3"/>
      <c r="O52" s="3" t="s">
        <v>67</v>
      </c>
      <c r="P52" s="6" t="s">
        <v>60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 t="n">
        <v>23</v>
      </c>
      <c r="AC52" s="3" t="n">
        <v>1</v>
      </c>
      <c r="AD52" s="6" t="s">
        <v>46</v>
      </c>
      <c r="AE52" s="3" t="s">
        <v>52</v>
      </c>
      <c r="AF52" s="6" t="s">
        <v>46</v>
      </c>
      <c r="AG52" s="6" t="s">
        <v>46</v>
      </c>
      <c r="AH52" s="3"/>
      <c r="AI52" s="3"/>
      <c r="AJ52" s="3"/>
      <c r="AK52" s="3"/>
      <c r="AL52" s="7" t="n">
        <f aca="false">IF(A52="","",IF(COUNTIF(A52:A$2001,A52)=1,1,0))</f>
        <v>0</v>
      </c>
      <c r="AM52" s="7" t="n">
        <f aca="true">IF(I52="","",TODAY()-I52)</f>
        <v>273</v>
      </c>
      <c r="AN52" s="7" t="n">
        <f aca="false">IF(A52="","",IF(AND(E52&lt;&gt;"33 確認済",E52&lt;&gt;"36 送付中"),1,0))</f>
        <v>1</v>
      </c>
      <c r="AO52" s="7" t="n">
        <f aca="false">IF(A52="","",IF(AG52&lt;&gt;"",1,0))</f>
        <v>1</v>
      </c>
    </row>
    <row r="53" customFormat="false" ht="15" hidden="false" customHeight="false" outlineLevel="0" collapsed="false">
      <c r="A53" s="3" t="n">
        <v>202560002505</v>
      </c>
      <c r="B53" s="3"/>
      <c r="C53" s="3"/>
      <c r="D53" s="3" t="n">
        <v>40</v>
      </c>
      <c r="E53" s="3" t="s">
        <v>49</v>
      </c>
      <c r="F53" s="3" t="n">
        <v>20</v>
      </c>
      <c r="G53" s="3" t="s">
        <v>50</v>
      </c>
      <c r="H53" s="4" t="n">
        <v>46006</v>
      </c>
      <c r="I53" s="5" t="n">
        <v>46017</v>
      </c>
      <c r="J53" s="4" t="n">
        <v>46142</v>
      </c>
      <c r="K53" s="4" t="n">
        <v>46142</v>
      </c>
      <c r="L53" s="3"/>
      <c r="M53" s="3"/>
      <c r="N53" s="3"/>
      <c r="O53" s="3" t="s">
        <v>67</v>
      </c>
      <c r="P53" s="6" t="s">
        <v>60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 t="n">
        <v>23</v>
      </c>
      <c r="AC53" s="3" t="n">
        <v>1</v>
      </c>
      <c r="AD53" s="6" t="s">
        <v>46</v>
      </c>
      <c r="AE53" s="3" t="s">
        <v>53</v>
      </c>
      <c r="AF53" s="6" t="s">
        <v>46</v>
      </c>
      <c r="AG53" s="6" t="s">
        <v>46</v>
      </c>
      <c r="AH53" s="3"/>
      <c r="AI53" s="3"/>
      <c r="AJ53" s="3"/>
      <c r="AK53" s="3"/>
      <c r="AL53" s="7" t="n">
        <f aca="false">IF(A53="","",IF(COUNTIF(A53:A$2001,A53)=1,1,0))</f>
        <v>1</v>
      </c>
      <c r="AM53" s="7" t="n">
        <f aca="true">IF(I53="","",TODAY()-I53)</f>
        <v>273</v>
      </c>
      <c r="AN53" s="7" t="n">
        <f aca="false">IF(A53="","",IF(AND(E53&lt;&gt;"33 確認済",E53&lt;&gt;"36 送付中"),1,0))</f>
        <v>1</v>
      </c>
      <c r="AO53" s="7" t="n">
        <f aca="false">IF(A53="","",IF(AG53&lt;&gt;"",1,0))</f>
        <v>1</v>
      </c>
    </row>
    <row r="54" customFormat="false" ht="15" hidden="false" customHeight="false" outlineLevel="0" collapsed="false">
      <c r="A54" s="3" t="n">
        <v>202560002534</v>
      </c>
      <c r="B54" s="3"/>
      <c r="C54" s="3"/>
      <c r="D54" s="3" t="n">
        <v>40</v>
      </c>
      <c r="E54" s="3" t="s">
        <v>49</v>
      </c>
      <c r="F54" s="3" t="n">
        <v>20</v>
      </c>
      <c r="G54" s="3" t="s">
        <v>50</v>
      </c>
      <c r="H54" s="4" t="n">
        <v>46015</v>
      </c>
      <c r="I54" s="5" t="n">
        <v>46029</v>
      </c>
      <c r="J54" s="4" t="n">
        <v>46030</v>
      </c>
      <c r="K54" s="4" t="n">
        <v>46057</v>
      </c>
      <c r="L54" s="3"/>
      <c r="M54" s="3"/>
      <c r="N54" s="3"/>
      <c r="O54" s="3" t="s">
        <v>62</v>
      </c>
      <c r="P54" s="3"/>
      <c r="Q54" s="3"/>
      <c r="R54" s="3"/>
      <c r="S54" s="3"/>
      <c r="T54" s="3"/>
      <c r="U54" s="3"/>
      <c r="V54" s="3"/>
      <c r="W54" s="6" t="s">
        <v>63</v>
      </c>
      <c r="X54" s="3"/>
      <c r="Y54" s="3"/>
      <c r="Z54" s="3"/>
      <c r="AA54" s="3"/>
      <c r="AB54" s="3" t="n">
        <v>23</v>
      </c>
      <c r="AC54" s="3" t="n">
        <v>1</v>
      </c>
      <c r="AD54" s="6" t="s">
        <v>46</v>
      </c>
      <c r="AE54" s="3" t="s">
        <v>52</v>
      </c>
      <c r="AF54" s="3"/>
      <c r="AG54" s="3"/>
      <c r="AH54" s="3"/>
      <c r="AI54" s="3"/>
      <c r="AJ54" s="3"/>
      <c r="AK54" s="3"/>
      <c r="AL54" s="7" t="n">
        <f aca="false">IF(A54="","",IF(COUNTIF(A54:A$2001,A54)=1,1,0))</f>
        <v>0</v>
      </c>
      <c r="AM54" s="7" t="n">
        <f aca="true">IF(I54="","",TODAY()-I54)</f>
        <v>261</v>
      </c>
      <c r="AN54" s="7" t="n">
        <f aca="false">IF(A54="","",IF(AND(E54&lt;&gt;"33 確認済",E54&lt;&gt;"36 送付中"),1,0))</f>
        <v>1</v>
      </c>
      <c r="AO54" s="7" t="n">
        <f aca="false">IF(A54="","",IF(AG54&lt;&gt;"",1,0))</f>
        <v>0</v>
      </c>
    </row>
    <row r="55" customFormat="false" ht="15" hidden="false" customHeight="false" outlineLevel="0" collapsed="false">
      <c r="A55" s="3" t="n">
        <v>202560002534</v>
      </c>
      <c r="B55" s="3"/>
      <c r="C55" s="3"/>
      <c r="D55" s="3" t="n">
        <v>40</v>
      </c>
      <c r="E55" s="3" t="s">
        <v>49</v>
      </c>
      <c r="F55" s="3" t="n">
        <v>20</v>
      </c>
      <c r="G55" s="3" t="s">
        <v>50</v>
      </c>
      <c r="H55" s="4" t="n">
        <v>46015</v>
      </c>
      <c r="I55" s="5" t="n">
        <v>46029</v>
      </c>
      <c r="J55" s="4" t="n">
        <v>46030</v>
      </c>
      <c r="K55" s="4" t="n">
        <v>46057</v>
      </c>
      <c r="L55" s="3"/>
      <c r="M55" s="3"/>
      <c r="N55" s="3"/>
      <c r="O55" s="3" t="s">
        <v>62</v>
      </c>
      <c r="P55" s="3"/>
      <c r="Q55" s="3"/>
      <c r="R55" s="3"/>
      <c r="S55" s="3"/>
      <c r="T55" s="3"/>
      <c r="U55" s="3"/>
      <c r="V55" s="3"/>
      <c r="W55" s="6" t="s">
        <v>63</v>
      </c>
      <c r="X55" s="3"/>
      <c r="Y55" s="3"/>
      <c r="Z55" s="3"/>
      <c r="AA55" s="3"/>
      <c r="AB55" s="3" t="n">
        <v>23</v>
      </c>
      <c r="AC55" s="3" t="n">
        <v>1</v>
      </c>
      <c r="AD55" s="6" t="s">
        <v>46</v>
      </c>
      <c r="AE55" s="3" t="s">
        <v>53</v>
      </c>
      <c r="AF55" s="3"/>
      <c r="AG55" s="3"/>
      <c r="AH55" s="3"/>
      <c r="AI55" s="3"/>
      <c r="AJ55" s="3"/>
      <c r="AK55" s="3"/>
      <c r="AL55" s="7" t="n">
        <f aca="false">IF(A55="","",IF(COUNTIF(A55:A$2001,A55)=1,1,0))</f>
        <v>1</v>
      </c>
      <c r="AM55" s="7" t="n">
        <f aca="true">IF(I55="","",TODAY()-I55)</f>
        <v>261</v>
      </c>
      <c r="AN55" s="7" t="n">
        <f aca="false">IF(A55="","",IF(AND(E55&lt;&gt;"33 確認済",E55&lt;&gt;"36 送付中"),1,0))</f>
        <v>1</v>
      </c>
      <c r="AO55" s="7" t="n">
        <f aca="false">IF(A55="","",IF(AG55&lt;&gt;"",1,0))</f>
        <v>0</v>
      </c>
    </row>
    <row r="56" customFormat="false" ht="15" hidden="false" customHeight="false" outlineLevel="0" collapsed="false">
      <c r="A56" s="3" t="n">
        <v>202560002734</v>
      </c>
      <c r="B56" s="3"/>
      <c r="C56" s="3"/>
      <c r="D56" s="3" t="n">
        <v>20</v>
      </c>
      <c r="E56" s="3" t="s">
        <v>69</v>
      </c>
      <c r="F56" s="3"/>
      <c r="G56" s="3"/>
      <c r="H56" s="3"/>
      <c r="I56" s="5" t="n">
        <v>46057</v>
      </c>
      <c r="J56" s="3"/>
      <c r="K56" s="3"/>
      <c r="L56" s="3"/>
      <c r="M56" s="3"/>
      <c r="N56" s="3"/>
      <c r="O56" s="3" t="s">
        <v>81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6" t="s">
        <v>43</v>
      </c>
      <c r="AE56" s="3"/>
      <c r="AF56" s="3"/>
      <c r="AG56" s="3"/>
      <c r="AH56" s="3"/>
      <c r="AI56" s="3"/>
      <c r="AJ56" s="6" t="s">
        <v>80</v>
      </c>
      <c r="AK56" s="3"/>
      <c r="AL56" s="7" t="n">
        <f aca="false">IF(A56="","",IF(COUNTIF(A56:A$2001,A56)=1,1,0))</f>
        <v>1</v>
      </c>
      <c r="AM56" s="7" t="n">
        <f aca="true">IF(I56="","",TODAY()-I56)</f>
        <v>233</v>
      </c>
      <c r="AN56" s="7" t="n">
        <f aca="false">IF(A56="","",IF(AND(E56&lt;&gt;"33 確認済",E56&lt;&gt;"36 送付中"),1,0))</f>
        <v>1</v>
      </c>
      <c r="AO56" s="7" t="n">
        <f aca="false">IF(A56="","",IF(AG56&lt;&gt;"",1,0))</f>
        <v>0</v>
      </c>
    </row>
    <row r="57" customFormat="false" ht="15" hidden="false" customHeight="false" outlineLevel="0" collapsed="false">
      <c r="A57" s="3" t="n">
        <v>202560002767</v>
      </c>
      <c r="B57" s="3"/>
      <c r="C57" s="3"/>
      <c r="D57" s="3" t="n">
        <v>32</v>
      </c>
      <c r="E57" s="3" t="s">
        <v>74</v>
      </c>
      <c r="F57" s="3"/>
      <c r="G57" s="3"/>
      <c r="H57" s="4" t="n">
        <v>46113</v>
      </c>
      <c r="I57" s="5" t="n">
        <v>46113</v>
      </c>
      <c r="J57" s="4" t="n">
        <v>46127</v>
      </c>
      <c r="K57" s="4" t="n">
        <v>46127</v>
      </c>
      <c r="L57" s="3"/>
      <c r="M57" s="3"/>
      <c r="N57" s="3"/>
      <c r="O57" s="3" t="s">
        <v>82</v>
      </c>
      <c r="P57" s="6" t="s">
        <v>60</v>
      </c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 t="n">
        <v>27</v>
      </c>
      <c r="AC57" s="3" t="n">
        <v>1</v>
      </c>
      <c r="AD57" s="6" t="s">
        <v>46</v>
      </c>
      <c r="AE57" s="3" t="s">
        <v>66</v>
      </c>
      <c r="AF57" s="6" t="s">
        <v>46</v>
      </c>
      <c r="AG57" s="6" t="s">
        <v>46</v>
      </c>
      <c r="AH57" s="6" t="s">
        <v>46</v>
      </c>
      <c r="AI57" s="3"/>
      <c r="AJ57" s="3"/>
      <c r="AK57" s="3"/>
      <c r="AL57" s="7" t="n">
        <f aca="false">IF(A57="","",IF(COUNTIF(A57:A$2001,A57)=1,1,0))</f>
        <v>1</v>
      </c>
      <c r="AM57" s="7" t="n">
        <f aca="true">IF(I57="","",TODAY()-I57)</f>
        <v>177</v>
      </c>
      <c r="AN57" s="7" t="n">
        <f aca="false">IF(A57="","",IF(AND(E57&lt;&gt;"33 確認済",E57&lt;&gt;"36 送付中"),1,0))</f>
        <v>1</v>
      </c>
      <c r="AO57" s="7" t="n">
        <f aca="false">IF(A57="","",IF(AG57&lt;&gt;"",1,0))</f>
        <v>1</v>
      </c>
    </row>
    <row r="58" customFormat="false" ht="15" hidden="false" customHeight="false" outlineLevel="0" collapsed="false">
      <c r="A58" s="3" t="n">
        <v>202560002878</v>
      </c>
      <c r="B58" s="3"/>
      <c r="C58" s="3"/>
      <c r="D58" s="3" t="n">
        <v>40</v>
      </c>
      <c r="E58" s="3" t="s">
        <v>49</v>
      </c>
      <c r="F58" s="3" t="n">
        <v>20</v>
      </c>
      <c r="G58" s="3" t="s">
        <v>50</v>
      </c>
      <c r="H58" s="4" t="n">
        <v>46052</v>
      </c>
      <c r="I58" s="5" t="n">
        <v>46092</v>
      </c>
      <c r="J58" s="4" t="n">
        <v>46133</v>
      </c>
      <c r="K58" s="4" t="n">
        <v>46260</v>
      </c>
      <c r="L58" s="3"/>
      <c r="M58" s="3"/>
      <c r="N58" s="3"/>
      <c r="O58" s="3" t="s">
        <v>67</v>
      </c>
      <c r="P58" s="6" t="s">
        <v>60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 t="n">
        <v>25</v>
      </c>
      <c r="AC58" s="3" t="n">
        <v>1</v>
      </c>
      <c r="AD58" s="6" t="s">
        <v>46</v>
      </c>
      <c r="AE58" s="3" t="s">
        <v>54</v>
      </c>
      <c r="AF58" s="6" t="s">
        <v>46</v>
      </c>
      <c r="AG58" s="3"/>
      <c r="AH58" s="6" t="s">
        <v>46</v>
      </c>
      <c r="AI58" s="3"/>
      <c r="AJ58" s="3"/>
      <c r="AK58" s="3"/>
      <c r="AL58" s="7" t="n">
        <f aca="false">IF(A58="","",IF(COUNTIF(A58:A$2001,A58)=1,1,0))</f>
        <v>1</v>
      </c>
      <c r="AM58" s="7" t="n">
        <f aca="true">IF(I58="","",TODAY()-I58)</f>
        <v>198</v>
      </c>
      <c r="AN58" s="7" t="n">
        <f aca="false">IF(A58="","",IF(AND(E58&lt;&gt;"33 確認済",E58&lt;&gt;"36 送付中"),1,0))</f>
        <v>1</v>
      </c>
      <c r="AO58" s="7" t="n">
        <f aca="false">IF(A58="","",IF(AG58&lt;&gt;"",1,0))</f>
        <v>0</v>
      </c>
    </row>
    <row r="59" customFormat="false" ht="15" hidden="false" customHeight="false" outlineLevel="0" collapsed="false">
      <c r="A59" s="3" t="n">
        <v>202560002958</v>
      </c>
      <c r="B59" s="3"/>
      <c r="C59" s="3"/>
      <c r="D59" s="3" t="n">
        <v>32</v>
      </c>
      <c r="E59" s="3" t="s">
        <v>74</v>
      </c>
      <c r="F59" s="3" t="n">
        <v>20</v>
      </c>
      <c r="G59" s="3" t="s">
        <v>50</v>
      </c>
      <c r="H59" s="4" t="n">
        <v>46143</v>
      </c>
      <c r="I59" s="5" t="n">
        <v>46190</v>
      </c>
      <c r="J59" s="4" t="n">
        <v>46282</v>
      </c>
      <c r="K59" s="4" t="n">
        <v>46282</v>
      </c>
      <c r="L59" s="3"/>
      <c r="M59" s="3"/>
      <c r="N59" s="3"/>
      <c r="O59" s="3" t="s">
        <v>75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 t="n">
        <v>49</v>
      </c>
      <c r="AC59" s="3" t="n">
        <v>0</v>
      </c>
      <c r="AD59" s="6" t="s">
        <v>43</v>
      </c>
      <c r="AE59" s="3" t="s">
        <v>83</v>
      </c>
      <c r="AF59" s="3"/>
      <c r="AG59" s="3"/>
      <c r="AH59" s="6" t="s">
        <v>43</v>
      </c>
      <c r="AI59" s="3"/>
      <c r="AJ59" s="3"/>
      <c r="AK59" s="3"/>
      <c r="AL59" s="7" t="n">
        <f aca="false">IF(A59="","",IF(COUNTIF(A59:A$2001,A59)=1,1,0))</f>
        <v>1</v>
      </c>
      <c r="AM59" s="7" t="n">
        <f aca="true">IF(I59="","",TODAY()-I59)</f>
        <v>100</v>
      </c>
      <c r="AN59" s="7" t="n">
        <f aca="false">IF(A59="","",IF(AND(E59&lt;&gt;"33 確認済",E59&lt;&gt;"36 送付中"),1,0))</f>
        <v>1</v>
      </c>
      <c r="AO59" s="7" t="n">
        <f aca="false">IF(A59="","",IF(AG59&lt;&gt;"",1,0))</f>
        <v>0</v>
      </c>
    </row>
    <row r="60" customFormat="false" ht="15" hidden="false" customHeight="false" outlineLevel="0" collapsed="false">
      <c r="A60" s="3" t="n">
        <v>202560002994</v>
      </c>
      <c r="B60" s="3"/>
      <c r="C60" s="3"/>
      <c r="D60" s="3" t="n">
        <v>31</v>
      </c>
      <c r="E60" s="3" t="s">
        <v>41</v>
      </c>
      <c r="F60" s="3" t="n">
        <v>20</v>
      </c>
      <c r="G60" s="3" t="s">
        <v>50</v>
      </c>
      <c r="H60" s="4" t="n">
        <v>46113</v>
      </c>
      <c r="I60" s="5" t="n">
        <v>46139</v>
      </c>
      <c r="J60" s="4" t="n">
        <v>46233</v>
      </c>
      <c r="K60" s="4" t="n">
        <v>46233</v>
      </c>
      <c r="L60" s="3"/>
      <c r="M60" s="3"/>
      <c r="N60" s="3"/>
      <c r="O60" s="3" t="s">
        <v>56</v>
      </c>
      <c r="P60" s="6" t="s">
        <v>60</v>
      </c>
      <c r="Q60" s="3"/>
      <c r="R60" s="3"/>
      <c r="S60" s="3"/>
      <c r="T60" s="3"/>
      <c r="U60" s="6" t="s">
        <v>68</v>
      </c>
      <c r="V60" s="3"/>
      <c r="W60" s="3"/>
      <c r="X60" s="3"/>
      <c r="Y60" s="3"/>
      <c r="Z60" s="3"/>
      <c r="AA60" s="3"/>
      <c r="AB60" s="3" t="n">
        <v>34</v>
      </c>
      <c r="AC60" s="3" t="n">
        <v>1</v>
      </c>
      <c r="AD60" s="6" t="s">
        <v>46</v>
      </c>
      <c r="AE60" s="3" t="s">
        <v>84</v>
      </c>
      <c r="AF60" s="6" t="s">
        <v>46</v>
      </c>
      <c r="AG60" s="6" t="s">
        <v>46</v>
      </c>
      <c r="AH60" s="6" t="s">
        <v>46</v>
      </c>
      <c r="AI60" s="3"/>
      <c r="AJ60" s="3"/>
      <c r="AK60" s="3"/>
      <c r="AL60" s="7" t="n">
        <f aca="false">IF(A60="","",IF(COUNTIF(A60:A$2001,A60)=1,1,0))</f>
        <v>1</v>
      </c>
      <c r="AM60" s="7" t="n">
        <f aca="true">IF(I60="","",TODAY()-I60)</f>
        <v>151</v>
      </c>
      <c r="AN60" s="7" t="n">
        <f aca="false">IF(A60="","",IF(AND(E60&lt;&gt;"33 確認済",E60&lt;&gt;"36 送付中"),1,0))</f>
        <v>1</v>
      </c>
      <c r="AO60" s="7" t="n">
        <f aca="false">IF(A60="","",IF(AG60&lt;&gt;"",1,0))</f>
        <v>1</v>
      </c>
    </row>
    <row r="61" customFormat="false" ht="15" hidden="false" customHeight="false" outlineLevel="0" collapsed="false">
      <c r="A61" s="3" t="n">
        <v>202560003011</v>
      </c>
      <c r="B61" s="3"/>
      <c r="C61" s="3"/>
      <c r="D61" s="3" t="n">
        <v>40</v>
      </c>
      <c r="E61" s="3" t="s">
        <v>49</v>
      </c>
      <c r="F61" s="3" t="n">
        <v>20</v>
      </c>
      <c r="G61" s="3" t="s">
        <v>50</v>
      </c>
      <c r="H61" s="4" t="n">
        <v>46107</v>
      </c>
      <c r="I61" s="5" t="n">
        <v>46107</v>
      </c>
      <c r="J61" s="4" t="n">
        <v>46111</v>
      </c>
      <c r="K61" s="4" t="n">
        <v>46111</v>
      </c>
      <c r="L61" s="3"/>
      <c r="M61" s="3"/>
      <c r="N61" s="3"/>
      <c r="O61" s="3" t="s">
        <v>51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 t="n">
        <v>28</v>
      </c>
      <c r="AC61" s="3" t="n">
        <v>3</v>
      </c>
      <c r="AD61" s="6" t="s">
        <v>43</v>
      </c>
      <c r="AE61" s="3"/>
      <c r="AF61" s="3"/>
      <c r="AG61" s="3"/>
      <c r="AH61" s="6" t="s">
        <v>46</v>
      </c>
      <c r="AI61" s="3"/>
      <c r="AJ61" s="3"/>
      <c r="AK61" s="3"/>
      <c r="AL61" s="7" t="n">
        <f aca="false">IF(A61="","",IF(COUNTIF(A61:A$2001,A61)=1,1,0))</f>
        <v>1</v>
      </c>
      <c r="AM61" s="7" t="n">
        <f aca="true">IF(I61="","",TODAY()-I61)</f>
        <v>183</v>
      </c>
      <c r="AN61" s="7" t="n">
        <f aca="false">IF(A61="","",IF(AND(E61&lt;&gt;"33 確認済",E61&lt;&gt;"36 送付中"),1,0))</f>
        <v>1</v>
      </c>
      <c r="AO61" s="7" t="n">
        <f aca="false">IF(A61="","",IF(AG61&lt;&gt;"",1,0))</f>
        <v>0</v>
      </c>
    </row>
    <row r="62" customFormat="false" ht="15" hidden="false" customHeight="false" outlineLevel="0" collapsed="false">
      <c r="A62" s="3" t="n">
        <v>202560003089</v>
      </c>
      <c r="B62" s="3"/>
      <c r="C62" s="3"/>
      <c r="D62" s="3" t="n">
        <v>32</v>
      </c>
      <c r="E62" s="3" t="s">
        <v>74</v>
      </c>
      <c r="F62" s="3"/>
      <c r="G62" s="3"/>
      <c r="H62" s="4" t="n">
        <v>46113</v>
      </c>
      <c r="I62" s="5" t="n">
        <v>46115</v>
      </c>
      <c r="J62" s="4" t="n">
        <v>46118</v>
      </c>
      <c r="K62" s="4" t="n">
        <v>46118</v>
      </c>
      <c r="L62" s="3"/>
      <c r="M62" s="3"/>
      <c r="N62" s="3"/>
      <c r="O62" s="3" t="s">
        <v>82</v>
      </c>
      <c r="P62" s="3"/>
      <c r="Q62" s="3"/>
      <c r="R62" s="3"/>
      <c r="S62" s="6" t="s">
        <v>58</v>
      </c>
      <c r="T62" s="3"/>
      <c r="U62" s="3"/>
      <c r="V62" s="3"/>
      <c r="W62" s="3"/>
      <c r="X62" s="3"/>
      <c r="Y62" s="3"/>
      <c r="Z62" s="3"/>
      <c r="AA62" s="3"/>
      <c r="AB62" s="3" t="n">
        <v>99</v>
      </c>
      <c r="AC62" s="3" t="n">
        <v>1</v>
      </c>
      <c r="AD62" s="6" t="s">
        <v>46</v>
      </c>
      <c r="AE62" s="3" t="s">
        <v>61</v>
      </c>
      <c r="AF62" s="3"/>
      <c r="AG62" s="6" t="s">
        <v>46</v>
      </c>
      <c r="AH62" s="6" t="s">
        <v>46</v>
      </c>
      <c r="AI62" s="3"/>
      <c r="AJ62" s="3"/>
      <c r="AK62" s="3"/>
      <c r="AL62" s="7" t="n">
        <f aca="false">IF(A62="","",IF(COUNTIF(A62:A$2001,A62)=1,1,0))</f>
        <v>1</v>
      </c>
      <c r="AM62" s="7" t="n">
        <f aca="true">IF(I62="","",TODAY()-I62)</f>
        <v>175</v>
      </c>
      <c r="AN62" s="7" t="n">
        <f aca="false">IF(A62="","",IF(AND(E62&lt;&gt;"33 確認済",E62&lt;&gt;"36 送付中"),1,0))</f>
        <v>1</v>
      </c>
      <c r="AO62" s="7" t="n">
        <f aca="false">IF(A62="","",IF(AG62&lt;&gt;"",1,0))</f>
        <v>1</v>
      </c>
    </row>
    <row r="63" customFormat="false" ht="15" hidden="false" customHeight="false" outlineLevel="0" collapsed="false">
      <c r="A63" s="3" t="n">
        <v>202560003091</v>
      </c>
      <c r="B63" s="3"/>
      <c r="C63" s="3"/>
      <c r="D63" s="3" t="n">
        <v>31</v>
      </c>
      <c r="E63" s="3" t="s">
        <v>41</v>
      </c>
      <c r="F63" s="3" t="n">
        <v>20</v>
      </c>
      <c r="G63" s="3" t="s">
        <v>50</v>
      </c>
      <c r="H63" s="4" t="n">
        <v>46044</v>
      </c>
      <c r="I63" s="5" t="n">
        <v>46112</v>
      </c>
      <c r="J63" s="4" t="n">
        <v>46280</v>
      </c>
      <c r="K63" s="4" t="n">
        <v>46280</v>
      </c>
      <c r="L63" s="3"/>
      <c r="M63" s="3"/>
      <c r="N63" s="3"/>
      <c r="O63" s="3" t="s">
        <v>56</v>
      </c>
      <c r="P63" s="3"/>
      <c r="Q63" s="3"/>
      <c r="R63" s="3"/>
      <c r="S63" s="3"/>
      <c r="T63" s="3"/>
      <c r="U63" s="6" t="s">
        <v>68</v>
      </c>
      <c r="V63" s="3"/>
      <c r="W63" s="3"/>
      <c r="X63" s="3"/>
      <c r="Y63" s="3"/>
      <c r="Z63" s="3"/>
      <c r="AA63" s="3"/>
      <c r="AB63" s="3" t="n">
        <v>54</v>
      </c>
      <c r="AC63" s="3" t="n">
        <v>0</v>
      </c>
      <c r="AD63" s="6" t="s">
        <v>43</v>
      </c>
      <c r="AE63" s="3" t="s">
        <v>85</v>
      </c>
      <c r="AF63" s="6" t="s">
        <v>43</v>
      </c>
      <c r="AG63" s="3"/>
      <c r="AH63" s="3"/>
      <c r="AI63" s="3"/>
      <c r="AJ63" s="3"/>
      <c r="AK63" s="3"/>
      <c r="AL63" s="7" t="n">
        <f aca="false">IF(A63="","",IF(COUNTIF(A63:A$2001,A63)=1,1,0))</f>
        <v>1</v>
      </c>
      <c r="AM63" s="7" t="n">
        <f aca="true">IF(I63="","",TODAY()-I63)</f>
        <v>178</v>
      </c>
      <c r="AN63" s="7" t="n">
        <f aca="false">IF(A63="","",IF(AND(E63&lt;&gt;"33 確認済",E63&lt;&gt;"36 送付中"),1,0))</f>
        <v>1</v>
      </c>
      <c r="AO63" s="7" t="n">
        <f aca="false">IF(A63="","",IF(AG63&lt;&gt;"",1,0))</f>
        <v>0</v>
      </c>
    </row>
    <row r="64" customFormat="false" ht="15" hidden="false" customHeight="false" outlineLevel="0" collapsed="false">
      <c r="A64" s="3" t="n">
        <v>202660000028</v>
      </c>
      <c r="B64" s="3"/>
      <c r="C64" s="3"/>
      <c r="D64" s="3" t="n">
        <v>20</v>
      </c>
      <c r="E64" s="3" t="s">
        <v>69</v>
      </c>
      <c r="F64" s="3"/>
      <c r="G64" s="3"/>
      <c r="H64" s="4" t="n">
        <v>46113</v>
      </c>
      <c r="I64" s="5" t="n">
        <v>46115</v>
      </c>
      <c r="J64" s="3"/>
      <c r="K64" s="3"/>
      <c r="L64" s="3"/>
      <c r="M64" s="3"/>
      <c r="N64" s="3"/>
      <c r="O64" s="3" t="s">
        <v>81</v>
      </c>
      <c r="P64" s="3"/>
      <c r="Q64" s="3"/>
      <c r="R64" s="6" t="s">
        <v>71</v>
      </c>
      <c r="S64" s="3"/>
      <c r="T64" s="3"/>
      <c r="U64" s="3"/>
      <c r="V64" s="3"/>
      <c r="W64" s="3"/>
      <c r="X64" s="3"/>
      <c r="Y64" s="3"/>
      <c r="Z64" s="3"/>
      <c r="AA64" s="3"/>
      <c r="AB64" s="3" t="n">
        <v>50</v>
      </c>
      <c r="AC64" s="3" t="n">
        <v>0</v>
      </c>
      <c r="AD64" s="6" t="s">
        <v>43</v>
      </c>
      <c r="AE64" s="3" t="s">
        <v>59</v>
      </c>
      <c r="AF64" s="6" t="s">
        <v>43</v>
      </c>
      <c r="AG64" s="3"/>
      <c r="AH64" s="3"/>
      <c r="AI64" s="3"/>
      <c r="AJ64" s="3"/>
      <c r="AK64" s="3"/>
      <c r="AL64" s="7" t="n">
        <f aca="false">IF(A64="","",IF(COUNTIF(A64:A$2001,A64)=1,1,0))</f>
        <v>1</v>
      </c>
      <c r="AM64" s="7" t="n">
        <f aca="true">IF(I64="","",TODAY()-I64)</f>
        <v>175</v>
      </c>
      <c r="AN64" s="7" t="n">
        <f aca="false">IF(A64="","",IF(AND(E64&lt;&gt;"33 確認済",E64&lt;&gt;"36 送付中"),1,0))</f>
        <v>1</v>
      </c>
      <c r="AO64" s="7" t="n">
        <f aca="false">IF(A64="","",IF(AG64&lt;&gt;"",1,0))</f>
        <v>0</v>
      </c>
    </row>
    <row r="65" customFormat="false" ht="15" hidden="false" customHeight="false" outlineLevel="0" collapsed="false">
      <c r="A65" s="3" t="n">
        <v>202660000073</v>
      </c>
      <c r="B65" s="3"/>
      <c r="C65" s="3"/>
      <c r="D65" s="3" t="n">
        <v>20</v>
      </c>
      <c r="E65" s="3" t="s">
        <v>69</v>
      </c>
      <c r="F65" s="3" t="n">
        <v>20</v>
      </c>
      <c r="G65" s="3" t="s">
        <v>50</v>
      </c>
      <c r="H65" s="4" t="n">
        <v>46113</v>
      </c>
      <c r="I65" s="5" t="n">
        <v>46116</v>
      </c>
      <c r="J65" s="4" t="n">
        <v>46153</v>
      </c>
      <c r="K65" s="4" t="n">
        <v>46153</v>
      </c>
      <c r="L65" s="3"/>
      <c r="M65" s="3"/>
      <c r="N65" s="3"/>
      <c r="O65" s="3" t="s">
        <v>86</v>
      </c>
      <c r="P65" s="3"/>
      <c r="Q65" s="3"/>
      <c r="R65" s="3"/>
      <c r="S65" s="6" t="s">
        <v>58</v>
      </c>
      <c r="T65" s="3"/>
      <c r="U65" s="3"/>
      <c r="V65" s="3"/>
      <c r="W65" s="3"/>
      <c r="X65" s="3"/>
      <c r="Y65" s="3"/>
      <c r="Z65" s="3"/>
      <c r="AA65" s="3"/>
      <c r="AB65" s="3" t="n">
        <v>99</v>
      </c>
      <c r="AC65" s="3" t="n">
        <v>0</v>
      </c>
      <c r="AD65" s="6" t="s">
        <v>43</v>
      </c>
      <c r="AE65" s="3" t="s">
        <v>61</v>
      </c>
      <c r="AF65" s="6" t="s">
        <v>43</v>
      </c>
      <c r="AG65" s="6" t="s">
        <v>43</v>
      </c>
      <c r="AH65" s="6" t="s">
        <v>43</v>
      </c>
      <c r="AI65" s="3"/>
      <c r="AJ65" s="3"/>
      <c r="AK65" s="3"/>
      <c r="AL65" s="7" t="n">
        <f aca="false">IF(A65="","",IF(COUNTIF(A65:A$2001,A65)=1,1,0))</f>
        <v>1</v>
      </c>
      <c r="AM65" s="7" t="n">
        <f aca="true">IF(I65="","",TODAY()-I65)</f>
        <v>174</v>
      </c>
      <c r="AN65" s="7" t="n">
        <f aca="false">IF(A65="","",IF(AND(E65&lt;&gt;"33 確認済",E65&lt;&gt;"36 送付中"),1,0))</f>
        <v>1</v>
      </c>
      <c r="AO65" s="7" t="n">
        <f aca="false">IF(A65="","",IF(AG65&lt;&gt;"",1,0))</f>
        <v>1</v>
      </c>
    </row>
    <row r="66" customFormat="false" ht="15" hidden="false" customHeight="false" outlineLevel="0" collapsed="false">
      <c r="A66" s="3" t="n">
        <v>202660000276</v>
      </c>
      <c r="B66" s="3"/>
      <c r="C66" s="3"/>
      <c r="D66" s="3" t="n">
        <v>40</v>
      </c>
      <c r="E66" s="3" t="s">
        <v>49</v>
      </c>
      <c r="F66" s="3" t="n">
        <v>20</v>
      </c>
      <c r="G66" s="3" t="s">
        <v>50</v>
      </c>
      <c r="H66" s="4" t="n">
        <v>46113</v>
      </c>
      <c r="I66" s="5" t="n">
        <v>46125</v>
      </c>
      <c r="J66" s="4" t="n">
        <v>46188</v>
      </c>
      <c r="K66" s="4" t="n">
        <v>46188</v>
      </c>
      <c r="L66" s="3"/>
      <c r="M66" s="3"/>
      <c r="N66" s="3"/>
      <c r="O66" s="3" t="s">
        <v>67</v>
      </c>
      <c r="P66" s="6" t="s">
        <v>60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 t="n">
        <v>47</v>
      </c>
      <c r="AC66" s="3" t="n">
        <v>0</v>
      </c>
      <c r="AD66" s="6" t="s">
        <v>43</v>
      </c>
      <c r="AE66" s="3" t="s">
        <v>44</v>
      </c>
      <c r="AF66" s="3"/>
      <c r="AG66" s="3"/>
      <c r="AH66" s="3"/>
      <c r="AI66" s="3"/>
      <c r="AJ66" s="3"/>
      <c r="AK66" s="3"/>
      <c r="AL66" s="7" t="n">
        <f aca="false">IF(A66="","",IF(COUNTIF(A66:A$2001,A66)=1,1,0))</f>
        <v>1</v>
      </c>
      <c r="AM66" s="7" t="n">
        <f aca="true">IF(I66="","",TODAY()-I66)</f>
        <v>165</v>
      </c>
      <c r="AN66" s="7" t="n">
        <f aca="false">IF(A66="","",IF(AND(E66&lt;&gt;"33 確認済",E66&lt;&gt;"36 送付中"),1,0))</f>
        <v>1</v>
      </c>
      <c r="AO66" s="7" t="n">
        <f aca="false">IF(A66="","",IF(AG66&lt;&gt;"",1,0))</f>
        <v>0</v>
      </c>
    </row>
    <row r="67" customFormat="false" ht="15" hidden="false" customHeight="false" outlineLevel="0" collapsed="false">
      <c r="A67" s="3" t="n">
        <v>202660000336</v>
      </c>
      <c r="B67" s="3"/>
      <c r="C67" s="3"/>
      <c r="D67" s="3" t="n">
        <v>36</v>
      </c>
      <c r="E67" s="3" t="s">
        <v>87</v>
      </c>
      <c r="F67" s="3" t="n">
        <v>20</v>
      </c>
      <c r="G67" s="3" t="s">
        <v>50</v>
      </c>
      <c r="H67" s="4" t="n">
        <v>46113</v>
      </c>
      <c r="I67" s="5" t="n">
        <v>46155</v>
      </c>
      <c r="J67" s="4" t="n">
        <v>46279</v>
      </c>
      <c r="K67" s="4" t="n">
        <v>46279</v>
      </c>
      <c r="L67" s="4" t="n">
        <v>46289</v>
      </c>
      <c r="M67" s="4" t="n">
        <v>46289</v>
      </c>
      <c r="N67" s="3"/>
      <c r="O67" s="3" t="s">
        <v>88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 t="n">
        <v>51</v>
      </c>
      <c r="AC67" s="3" t="n">
        <v>0</v>
      </c>
      <c r="AD67" s="6" t="s">
        <v>43</v>
      </c>
      <c r="AE67" s="3" t="s">
        <v>72</v>
      </c>
      <c r="AF67" s="3"/>
      <c r="AG67" s="6" t="s">
        <v>43</v>
      </c>
      <c r="AH67" s="6" t="s">
        <v>43</v>
      </c>
      <c r="AI67" s="3"/>
      <c r="AJ67" s="3"/>
      <c r="AK67" s="3"/>
      <c r="AL67" s="7" t="n">
        <f aca="false">IF(A67="","",IF(COUNTIF(A67:A$2001,A67)=1,1,0))</f>
        <v>1</v>
      </c>
      <c r="AM67" s="7" t="n">
        <f aca="true">IF(I67="","",TODAY()-I67)</f>
        <v>135</v>
      </c>
      <c r="AN67" s="7" t="n">
        <f aca="false">IF(A67="","",IF(AND(E67&lt;&gt;"33 確認済",E67&lt;&gt;"36 送付中"),1,0))</f>
        <v>0</v>
      </c>
      <c r="AO67" s="7" t="n">
        <f aca="false">IF(A67="","",IF(AG67&lt;&gt;"",1,0))</f>
        <v>1</v>
      </c>
    </row>
    <row r="68" customFormat="false" ht="15" hidden="false" customHeight="false" outlineLevel="0" collapsed="false">
      <c r="A68" s="3" t="n">
        <v>202660000364</v>
      </c>
      <c r="B68" s="3"/>
      <c r="C68" s="3"/>
      <c r="D68" s="3" t="n">
        <v>20</v>
      </c>
      <c r="E68" s="3" t="s">
        <v>69</v>
      </c>
      <c r="F68" s="3"/>
      <c r="G68" s="3"/>
      <c r="H68" s="4" t="n">
        <v>46113</v>
      </c>
      <c r="I68" s="5" t="n">
        <v>46132</v>
      </c>
      <c r="J68" s="3"/>
      <c r="K68" s="3"/>
      <c r="L68" s="3"/>
      <c r="M68" s="3"/>
      <c r="N68" s="3"/>
      <c r="O68" s="3" t="s">
        <v>81</v>
      </c>
      <c r="P68" s="6" t="s">
        <v>60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 t="n">
        <v>47</v>
      </c>
      <c r="AC68" s="3" t="n">
        <v>0</v>
      </c>
      <c r="AD68" s="6" t="s">
        <v>43</v>
      </c>
      <c r="AE68" s="3" t="s">
        <v>44</v>
      </c>
      <c r="AF68" s="6" t="s">
        <v>43</v>
      </c>
      <c r="AG68" s="6" t="s">
        <v>43</v>
      </c>
      <c r="AH68" s="6" t="s">
        <v>43</v>
      </c>
      <c r="AI68" s="3"/>
      <c r="AJ68" s="3"/>
      <c r="AK68" s="3"/>
      <c r="AL68" s="7" t="n">
        <f aca="false">IF(A68="","",IF(COUNTIF(A68:A$2001,A68)=1,1,0))</f>
        <v>1</v>
      </c>
      <c r="AM68" s="7" t="n">
        <f aca="true">IF(I68="","",TODAY()-I68)</f>
        <v>158</v>
      </c>
      <c r="AN68" s="7" t="n">
        <f aca="false">IF(A68="","",IF(AND(E68&lt;&gt;"33 確認済",E68&lt;&gt;"36 送付中"),1,0))</f>
        <v>1</v>
      </c>
      <c r="AO68" s="7" t="n">
        <f aca="false">IF(A68="","",IF(AG68&lt;&gt;"",1,0))</f>
        <v>1</v>
      </c>
    </row>
    <row r="69" customFormat="false" ht="15" hidden="false" customHeight="false" outlineLevel="0" collapsed="false">
      <c r="A69" s="3" t="n">
        <v>202660000434</v>
      </c>
      <c r="B69" s="3"/>
      <c r="C69" s="3"/>
      <c r="D69" s="3" t="n">
        <v>20</v>
      </c>
      <c r="E69" s="3" t="s">
        <v>69</v>
      </c>
      <c r="F69" s="3"/>
      <c r="G69" s="3"/>
      <c r="H69" s="3"/>
      <c r="I69" s="5" t="n">
        <v>46139</v>
      </c>
      <c r="J69" s="3"/>
      <c r="K69" s="3"/>
      <c r="L69" s="3"/>
      <c r="M69" s="3"/>
      <c r="N69" s="3"/>
      <c r="O69" s="3" t="s">
        <v>81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6" t="s">
        <v>43</v>
      </c>
      <c r="AE69" s="3"/>
      <c r="AF69" s="3"/>
      <c r="AG69" s="3"/>
      <c r="AH69" s="3"/>
      <c r="AI69" s="3"/>
      <c r="AJ69" s="6" t="s">
        <v>80</v>
      </c>
      <c r="AK69" s="3"/>
      <c r="AL69" s="7" t="n">
        <f aca="false">IF(A69="","",IF(COUNTIF(A69:A$2001,A69)=1,1,0))</f>
        <v>1</v>
      </c>
      <c r="AM69" s="7" t="n">
        <f aca="true">IF(I69="","",TODAY()-I69)</f>
        <v>151</v>
      </c>
      <c r="AN69" s="7" t="n">
        <f aca="false">IF(A69="","",IF(AND(E69&lt;&gt;"33 確認済",E69&lt;&gt;"36 送付中"),1,0))</f>
        <v>1</v>
      </c>
      <c r="AO69" s="7" t="n">
        <f aca="false">IF(A69="","",IF(AG69&lt;&gt;"",1,0))</f>
        <v>0</v>
      </c>
    </row>
    <row r="70" customFormat="false" ht="15" hidden="false" customHeight="false" outlineLevel="0" collapsed="false">
      <c r="A70" s="3" t="n">
        <v>202660000452</v>
      </c>
      <c r="B70" s="3"/>
      <c r="C70" s="3"/>
      <c r="D70" s="3" t="n">
        <v>20</v>
      </c>
      <c r="E70" s="3" t="s">
        <v>69</v>
      </c>
      <c r="F70" s="3"/>
      <c r="G70" s="3"/>
      <c r="H70" s="4" t="n">
        <v>46113</v>
      </c>
      <c r="I70" s="5" t="n">
        <v>46266</v>
      </c>
      <c r="J70" s="3"/>
      <c r="K70" s="3"/>
      <c r="L70" s="3"/>
      <c r="M70" s="3"/>
      <c r="N70" s="3"/>
      <c r="O70" s="3" t="s">
        <v>67</v>
      </c>
      <c r="P70" s="6" t="s">
        <v>60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 t="n">
        <v>47</v>
      </c>
      <c r="AC70" s="3" t="n">
        <v>0</v>
      </c>
      <c r="AD70" s="6" t="s">
        <v>43</v>
      </c>
      <c r="AE70" s="3" t="s">
        <v>44</v>
      </c>
      <c r="AF70" s="6" t="s">
        <v>43</v>
      </c>
      <c r="AG70" s="6" t="s">
        <v>43</v>
      </c>
      <c r="AH70" s="6" t="s">
        <v>43</v>
      </c>
      <c r="AI70" s="3"/>
      <c r="AJ70" s="3"/>
      <c r="AK70" s="3"/>
      <c r="AL70" s="7" t="n">
        <f aca="false">IF(A70="","",IF(COUNTIF(A70:A$2001,A70)=1,1,0))</f>
        <v>1</v>
      </c>
      <c r="AM70" s="7" t="n">
        <f aca="true">IF(I70="","",TODAY()-I70)</f>
        <v>24</v>
      </c>
      <c r="AN70" s="7" t="n">
        <f aca="false">IF(A70="","",IF(AND(E70&lt;&gt;"33 確認済",E70&lt;&gt;"36 送付中"),1,0))</f>
        <v>1</v>
      </c>
      <c r="AO70" s="7" t="n">
        <f aca="false">IF(A70="","",IF(AG70&lt;&gt;"",1,0))</f>
        <v>1</v>
      </c>
    </row>
    <row r="71" customFormat="false" ht="15" hidden="false" customHeight="false" outlineLevel="0" collapsed="false">
      <c r="A71" s="3" t="n">
        <v>202660000466</v>
      </c>
      <c r="B71" s="3"/>
      <c r="C71" s="3"/>
      <c r="D71" s="3" t="n">
        <v>40</v>
      </c>
      <c r="E71" s="3" t="s">
        <v>49</v>
      </c>
      <c r="F71" s="3" t="n">
        <v>20</v>
      </c>
      <c r="G71" s="3" t="s">
        <v>50</v>
      </c>
      <c r="H71" s="4" t="n">
        <v>46135</v>
      </c>
      <c r="I71" s="5" t="n">
        <v>46142</v>
      </c>
      <c r="J71" s="4" t="n">
        <v>46163</v>
      </c>
      <c r="K71" s="4" t="n">
        <v>46163</v>
      </c>
      <c r="L71" s="3"/>
      <c r="M71" s="3"/>
      <c r="N71" s="3"/>
      <c r="O71" s="3" t="s">
        <v>62</v>
      </c>
      <c r="P71" s="3"/>
      <c r="Q71" s="3"/>
      <c r="R71" s="3"/>
      <c r="S71" s="3"/>
      <c r="T71" s="3"/>
      <c r="U71" s="3"/>
      <c r="V71" s="3"/>
      <c r="W71" s="6" t="s">
        <v>63</v>
      </c>
      <c r="X71" s="3"/>
      <c r="Y71" s="3"/>
      <c r="Z71" s="3"/>
      <c r="AA71" s="3"/>
      <c r="AB71" s="3" t="n">
        <v>26</v>
      </c>
      <c r="AC71" s="3" t="n">
        <v>1</v>
      </c>
      <c r="AD71" s="6" t="s">
        <v>46</v>
      </c>
      <c r="AE71" s="3" t="s">
        <v>57</v>
      </c>
      <c r="AF71" s="6" t="s">
        <v>46</v>
      </c>
      <c r="AG71" s="3"/>
      <c r="AH71" s="6" t="s">
        <v>46</v>
      </c>
      <c r="AI71" s="3"/>
      <c r="AJ71" s="3"/>
      <c r="AK71" s="3"/>
      <c r="AL71" s="7" t="n">
        <f aca="false">IF(A71="","",IF(COUNTIF(A71:A$2001,A71)=1,1,0))</f>
        <v>1</v>
      </c>
      <c r="AM71" s="7" t="n">
        <f aca="true">IF(I71="","",TODAY()-I71)</f>
        <v>148</v>
      </c>
      <c r="AN71" s="7" t="n">
        <f aca="false">IF(A71="","",IF(AND(E71&lt;&gt;"33 確認済",E71&lt;&gt;"36 送付中"),1,0))</f>
        <v>1</v>
      </c>
      <c r="AO71" s="7" t="n">
        <f aca="false">IF(A71="","",IF(AG71&lt;&gt;"",1,0))</f>
        <v>0</v>
      </c>
    </row>
    <row r="72" customFormat="false" ht="15" hidden="false" customHeight="false" outlineLevel="0" collapsed="false">
      <c r="A72" s="3" t="n">
        <v>202660000490</v>
      </c>
      <c r="B72" s="3"/>
      <c r="C72" s="3"/>
      <c r="D72" s="3" t="n">
        <v>40</v>
      </c>
      <c r="E72" s="3" t="s">
        <v>49</v>
      </c>
      <c r="F72" s="3" t="n">
        <v>20</v>
      </c>
      <c r="G72" s="3" t="s">
        <v>50</v>
      </c>
      <c r="H72" s="4" t="n">
        <v>46054</v>
      </c>
      <c r="I72" s="5" t="n">
        <v>46142</v>
      </c>
      <c r="J72" s="4" t="n">
        <v>46279</v>
      </c>
      <c r="K72" s="4" t="n">
        <v>46279</v>
      </c>
      <c r="L72" s="3"/>
      <c r="M72" s="3"/>
      <c r="N72" s="3"/>
      <c r="O72" s="3" t="s">
        <v>67</v>
      </c>
      <c r="P72" s="6" t="s">
        <v>60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 t="n">
        <v>25</v>
      </c>
      <c r="AC72" s="3" t="n">
        <v>1</v>
      </c>
      <c r="AD72" s="6" t="s">
        <v>46</v>
      </c>
      <c r="AE72" s="3" t="s">
        <v>54</v>
      </c>
      <c r="AF72" s="6" t="s">
        <v>46</v>
      </c>
      <c r="AG72" s="6" t="s">
        <v>46</v>
      </c>
      <c r="AH72" s="6" t="s">
        <v>46</v>
      </c>
      <c r="AI72" s="3"/>
      <c r="AJ72" s="3"/>
      <c r="AK72" s="3"/>
      <c r="AL72" s="7" t="n">
        <f aca="false">IF(A72="","",IF(COUNTIF(A72:A$2001,A72)=1,1,0))</f>
        <v>1</v>
      </c>
      <c r="AM72" s="7" t="n">
        <f aca="true">IF(I72="","",TODAY()-I72)</f>
        <v>148</v>
      </c>
      <c r="AN72" s="7" t="n">
        <f aca="false">IF(A72="","",IF(AND(E72&lt;&gt;"33 確認済",E72&lt;&gt;"36 送付中"),1,0))</f>
        <v>1</v>
      </c>
      <c r="AO72" s="7" t="n">
        <f aca="false">IF(A72="","",IF(AG72&lt;&gt;"",1,0))</f>
        <v>1</v>
      </c>
    </row>
    <row r="73" customFormat="false" ht="15" hidden="false" customHeight="false" outlineLevel="0" collapsed="false">
      <c r="A73" s="3" t="n">
        <v>202660000559</v>
      </c>
      <c r="B73" s="3"/>
      <c r="C73" s="3"/>
      <c r="D73" s="3" t="n">
        <v>36</v>
      </c>
      <c r="E73" s="3" t="s">
        <v>87</v>
      </c>
      <c r="F73" s="3" t="n">
        <v>20</v>
      </c>
      <c r="G73" s="3" t="s">
        <v>50</v>
      </c>
      <c r="H73" s="4" t="n">
        <v>46154</v>
      </c>
      <c r="I73" s="5" t="n">
        <v>46174</v>
      </c>
      <c r="J73" s="4" t="n">
        <v>46280</v>
      </c>
      <c r="K73" s="4" t="n">
        <v>46280</v>
      </c>
      <c r="L73" s="4" t="n">
        <v>46289</v>
      </c>
      <c r="M73" s="4" t="n">
        <v>46289</v>
      </c>
      <c r="N73" s="3"/>
      <c r="O73" s="3" t="s">
        <v>88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 t="n">
        <v>54</v>
      </c>
      <c r="AC73" s="3" t="n">
        <v>0</v>
      </c>
      <c r="AD73" s="6" t="s">
        <v>43</v>
      </c>
      <c r="AE73" s="3" t="s">
        <v>85</v>
      </c>
      <c r="AF73" s="6" t="s">
        <v>43</v>
      </c>
      <c r="AG73" s="6" t="s">
        <v>43</v>
      </c>
      <c r="AH73" s="6" t="s">
        <v>43</v>
      </c>
      <c r="AI73" s="3"/>
      <c r="AJ73" s="3"/>
      <c r="AK73" s="3"/>
      <c r="AL73" s="7" t="n">
        <f aca="false">IF(A73="","",IF(COUNTIF(A73:A$2001,A73)=1,1,0))</f>
        <v>1</v>
      </c>
      <c r="AM73" s="7" t="n">
        <f aca="true">IF(I73="","",TODAY()-I73)</f>
        <v>116</v>
      </c>
      <c r="AN73" s="7" t="n">
        <f aca="false">IF(A73="","",IF(AND(E73&lt;&gt;"33 確認済",E73&lt;&gt;"36 送付中"),1,0))</f>
        <v>0</v>
      </c>
      <c r="AO73" s="7" t="n">
        <f aca="false">IF(A73="","",IF(AG73&lt;&gt;"",1,0))</f>
        <v>1</v>
      </c>
    </row>
    <row r="74" customFormat="false" ht="15" hidden="false" customHeight="false" outlineLevel="0" collapsed="false">
      <c r="A74" s="3" t="n">
        <v>202660000573</v>
      </c>
      <c r="B74" s="3"/>
      <c r="C74" s="3"/>
      <c r="D74" s="3" t="n">
        <v>33</v>
      </c>
      <c r="E74" s="3" t="s">
        <v>89</v>
      </c>
      <c r="F74" s="3"/>
      <c r="G74" s="3"/>
      <c r="H74" s="4" t="n">
        <v>46134</v>
      </c>
      <c r="I74" s="5" t="n">
        <v>46156</v>
      </c>
      <c r="J74" s="4" t="n">
        <v>46157</v>
      </c>
      <c r="K74" s="4" t="n">
        <v>46161</v>
      </c>
      <c r="L74" s="3"/>
      <c r="M74" s="3"/>
      <c r="N74" s="3"/>
      <c r="O74" s="3" t="s">
        <v>51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 t="n">
        <v>23</v>
      </c>
      <c r="AC74" s="3" t="n">
        <v>1</v>
      </c>
      <c r="AD74" s="6" t="s">
        <v>46</v>
      </c>
      <c r="AE74" s="3" t="s">
        <v>52</v>
      </c>
      <c r="AF74" s="3"/>
      <c r="AG74" s="3"/>
      <c r="AH74" s="3"/>
      <c r="AI74" s="3"/>
      <c r="AJ74" s="3"/>
      <c r="AK74" s="3"/>
      <c r="AL74" s="7" t="n">
        <f aca="false">IF(A74="","",IF(COUNTIF(A74:A$2001,A74)=1,1,0))</f>
        <v>0</v>
      </c>
      <c r="AM74" s="7" t="n">
        <f aca="true">IF(I74="","",TODAY()-I74)</f>
        <v>134</v>
      </c>
      <c r="AN74" s="7" t="n">
        <f aca="false">IF(A74="","",IF(AND(E74&lt;&gt;"33 確認済",E74&lt;&gt;"36 送付中"),1,0))</f>
        <v>0</v>
      </c>
      <c r="AO74" s="7" t="n">
        <f aca="false">IF(A74="","",IF(AG74&lt;&gt;"",1,0))</f>
        <v>0</v>
      </c>
    </row>
    <row r="75" customFormat="false" ht="15" hidden="false" customHeight="false" outlineLevel="0" collapsed="false">
      <c r="A75" s="3" t="n">
        <v>202660000573</v>
      </c>
      <c r="B75" s="3"/>
      <c r="C75" s="3"/>
      <c r="D75" s="3" t="n">
        <v>33</v>
      </c>
      <c r="E75" s="3" t="s">
        <v>89</v>
      </c>
      <c r="F75" s="3"/>
      <c r="G75" s="3"/>
      <c r="H75" s="4" t="n">
        <v>46134</v>
      </c>
      <c r="I75" s="5" t="n">
        <v>46156</v>
      </c>
      <c r="J75" s="4" t="n">
        <v>46157</v>
      </c>
      <c r="K75" s="4" t="n">
        <v>46161</v>
      </c>
      <c r="L75" s="3"/>
      <c r="M75" s="3"/>
      <c r="N75" s="3"/>
      <c r="O75" s="3" t="s">
        <v>51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 t="n">
        <v>23</v>
      </c>
      <c r="AC75" s="3" t="n">
        <v>1</v>
      </c>
      <c r="AD75" s="6" t="s">
        <v>46</v>
      </c>
      <c r="AE75" s="3" t="s">
        <v>53</v>
      </c>
      <c r="AF75" s="3"/>
      <c r="AG75" s="3"/>
      <c r="AH75" s="3"/>
      <c r="AI75" s="3"/>
      <c r="AJ75" s="3"/>
      <c r="AK75" s="3"/>
      <c r="AL75" s="7" t="n">
        <f aca="false">IF(A75="","",IF(COUNTIF(A75:A$2001,A75)=1,1,0))</f>
        <v>1</v>
      </c>
      <c r="AM75" s="7" t="n">
        <f aca="true">IF(I75="","",TODAY()-I75)</f>
        <v>134</v>
      </c>
      <c r="AN75" s="7" t="n">
        <f aca="false">IF(A75="","",IF(AND(E75&lt;&gt;"33 確認済",E75&lt;&gt;"36 送付中"),1,0))</f>
        <v>0</v>
      </c>
      <c r="AO75" s="7" t="n">
        <f aca="false">IF(A75="","",IF(AG75&lt;&gt;"",1,0))</f>
        <v>0</v>
      </c>
    </row>
    <row r="76" customFormat="false" ht="15" hidden="false" customHeight="false" outlineLevel="0" collapsed="false">
      <c r="A76" s="3" t="n">
        <v>202660000574</v>
      </c>
      <c r="B76" s="3"/>
      <c r="C76" s="3"/>
      <c r="D76" s="3" t="n">
        <v>40</v>
      </c>
      <c r="E76" s="3" t="s">
        <v>49</v>
      </c>
      <c r="F76" s="3" t="n">
        <v>20</v>
      </c>
      <c r="G76" s="3" t="s">
        <v>50</v>
      </c>
      <c r="H76" s="4" t="n">
        <v>46113</v>
      </c>
      <c r="I76" s="5" t="n">
        <v>46156</v>
      </c>
      <c r="J76" s="4" t="n">
        <v>46239</v>
      </c>
      <c r="K76" s="4" t="n">
        <v>46239</v>
      </c>
      <c r="L76" s="3"/>
      <c r="M76" s="3"/>
      <c r="N76" s="3"/>
      <c r="O76" s="3" t="s">
        <v>67</v>
      </c>
      <c r="P76" s="6" t="s">
        <v>60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 t="n">
        <v>51</v>
      </c>
      <c r="AC76" s="3" t="n">
        <v>0</v>
      </c>
      <c r="AD76" s="6" t="s">
        <v>43</v>
      </c>
      <c r="AE76" s="3" t="s">
        <v>72</v>
      </c>
      <c r="AF76" s="3"/>
      <c r="AG76" s="6" t="s">
        <v>43</v>
      </c>
      <c r="AH76" s="6" t="s">
        <v>43</v>
      </c>
      <c r="AI76" s="3"/>
      <c r="AJ76" s="3"/>
      <c r="AK76" s="3"/>
      <c r="AL76" s="7" t="n">
        <f aca="false">IF(A76="","",IF(COUNTIF(A76:A$2001,A76)=1,1,0))</f>
        <v>1</v>
      </c>
      <c r="AM76" s="7" t="n">
        <f aca="true">IF(I76="","",TODAY()-I76)</f>
        <v>134</v>
      </c>
      <c r="AN76" s="7" t="n">
        <f aca="false">IF(A76="","",IF(AND(E76&lt;&gt;"33 確認済",E76&lt;&gt;"36 送付中"),1,0))</f>
        <v>1</v>
      </c>
      <c r="AO76" s="7" t="n">
        <f aca="false">IF(A76="","",IF(AG76&lt;&gt;"",1,0))</f>
        <v>1</v>
      </c>
    </row>
    <row r="77" customFormat="false" ht="15" hidden="false" customHeight="false" outlineLevel="0" collapsed="false">
      <c r="A77" s="3" t="n">
        <v>202660000578</v>
      </c>
      <c r="B77" s="3"/>
      <c r="C77" s="3"/>
      <c r="D77" s="3" t="n">
        <v>20</v>
      </c>
      <c r="E77" s="3" t="s">
        <v>69</v>
      </c>
      <c r="F77" s="3" t="n">
        <v>20</v>
      </c>
      <c r="G77" s="3" t="s">
        <v>50</v>
      </c>
      <c r="H77" s="4" t="n">
        <v>46113</v>
      </c>
      <c r="I77" s="5" t="n">
        <v>46157</v>
      </c>
      <c r="J77" s="4" t="n">
        <v>46160</v>
      </c>
      <c r="K77" s="4" t="n">
        <v>46160</v>
      </c>
      <c r="L77" s="3"/>
      <c r="M77" s="3"/>
      <c r="N77" s="3"/>
      <c r="O77" s="3" t="s">
        <v>86</v>
      </c>
      <c r="P77" s="3"/>
      <c r="Q77" s="3"/>
      <c r="R77" s="3"/>
      <c r="S77" s="6" t="s">
        <v>58</v>
      </c>
      <c r="T77" s="3"/>
      <c r="U77" s="3"/>
      <c r="V77" s="3"/>
      <c r="W77" s="3"/>
      <c r="X77" s="3"/>
      <c r="Y77" s="3"/>
      <c r="Z77" s="3"/>
      <c r="AA77" s="3"/>
      <c r="AB77" s="3" t="n">
        <v>26</v>
      </c>
      <c r="AC77" s="3" t="n">
        <v>1</v>
      </c>
      <c r="AD77" s="6" t="s">
        <v>46</v>
      </c>
      <c r="AE77" s="3" t="s">
        <v>57</v>
      </c>
      <c r="AF77" s="6" t="s">
        <v>46</v>
      </c>
      <c r="AG77" s="6" t="s">
        <v>46</v>
      </c>
      <c r="AH77" s="6" t="s">
        <v>46</v>
      </c>
      <c r="AI77" s="3"/>
      <c r="AJ77" s="3"/>
      <c r="AK77" s="3"/>
      <c r="AL77" s="7" t="n">
        <f aca="false">IF(A77="","",IF(COUNTIF(A77:A$2001,A77)=1,1,0))</f>
        <v>1</v>
      </c>
      <c r="AM77" s="7" t="n">
        <f aca="true">IF(I77="","",TODAY()-I77)</f>
        <v>133</v>
      </c>
      <c r="AN77" s="7" t="n">
        <f aca="false">IF(A77="","",IF(AND(E77&lt;&gt;"33 確認済",E77&lt;&gt;"36 送付中"),1,0))</f>
        <v>1</v>
      </c>
      <c r="AO77" s="7" t="n">
        <f aca="false">IF(A77="","",IF(AG77&lt;&gt;"",1,0))</f>
        <v>1</v>
      </c>
    </row>
    <row r="78" customFormat="false" ht="15" hidden="false" customHeight="false" outlineLevel="0" collapsed="false">
      <c r="A78" s="3" t="n">
        <v>202660000643</v>
      </c>
      <c r="B78" s="3"/>
      <c r="C78" s="3"/>
      <c r="D78" s="3" t="n">
        <v>32</v>
      </c>
      <c r="E78" s="3" t="s">
        <v>74</v>
      </c>
      <c r="F78" s="3"/>
      <c r="G78" s="3"/>
      <c r="H78" s="4" t="n">
        <v>46143</v>
      </c>
      <c r="I78" s="5" t="n">
        <v>46175</v>
      </c>
      <c r="J78" s="4" t="n">
        <v>46185</v>
      </c>
      <c r="K78" s="4" t="n">
        <v>46185</v>
      </c>
      <c r="L78" s="3"/>
      <c r="M78" s="3"/>
      <c r="N78" s="3"/>
      <c r="O78" s="3" t="s">
        <v>82</v>
      </c>
      <c r="P78" s="3"/>
      <c r="Q78" s="3"/>
      <c r="R78" s="3"/>
      <c r="S78" s="3"/>
      <c r="T78" s="3"/>
      <c r="U78" s="6" t="s">
        <v>68</v>
      </c>
      <c r="V78" s="3"/>
      <c r="W78" s="3"/>
      <c r="X78" s="3"/>
      <c r="Y78" s="3"/>
      <c r="Z78" s="3"/>
      <c r="AA78" s="3"/>
      <c r="AB78" s="3" t="n">
        <v>51</v>
      </c>
      <c r="AC78" s="3" t="n">
        <v>0</v>
      </c>
      <c r="AD78" s="6" t="s">
        <v>43</v>
      </c>
      <c r="AE78" s="3" t="s">
        <v>72</v>
      </c>
      <c r="AF78" s="6" t="s">
        <v>43</v>
      </c>
      <c r="AG78" s="6" t="s">
        <v>43</v>
      </c>
      <c r="AH78" s="6" t="s">
        <v>43</v>
      </c>
      <c r="AI78" s="3"/>
      <c r="AJ78" s="3"/>
      <c r="AK78" s="3"/>
      <c r="AL78" s="7" t="n">
        <f aca="false">IF(A78="","",IF(COUNTIF(A78:A$2001,A78)=1,1,0))</f>
        <v>1</v>
      </c>
      <c r="AM78" s="7" t="n">
        <f aca="true">IF(I78="","",TODAY()-I78)</f>
        <v>115</v>
      </c>
      <c r="AN78" s="7" t="n">
        <f aca="false">IF(A78="","",IF(AND(E78&lt;&gt;"33 確認済",E78&lt;&gt;"36 送付中"),1,0))</f>
        <v>1</v>
      </c>
      <c r="AO78" s="7" t="n">
        <f aca="false">IF(A78="","",IF(AG78&lt;&gt;"",1,0))</f>
        <v>1</v>
      </c>
    </row>
    <row r="79" customFormat="false" ht="15" hidden="false" customHeight="false" outlineLevel="0" collapsed="false">
      <c r="A79" s="3" t="n">
        <v>202660000646</v>
      </c>
      <c r="B79" s="3"/>
      <c r="C79" s="3"/>
      <c r="D79" s="3" t="n">
        <v>32</v>
      </c>
      <c r="E79" s="3" t="s">
        <v>74</v>
      </c>
      <c r="F79" s="3" t="n">
        <v>20</v>
      </c>
      <c r="G79" s="3" t="s">
        <v>50</v>
      </c>
      <c r="H79" s="4" t="n">
        <v>46167</v>
      </c>
      <c r="I79" s="5" t="n">
        <v>46167</v>
      </c>
      <c r="J79" s="4" t="n">
        <v>46283</v>
      </c>
      <c r="K79" s="4" t="n">
        <v>46283</v>
      </c>
      <c r="L79" s="3"/>
      <c r="M79" s="3"/>
      <c r="N79" s="3"/>
      <c r="O79" s="3" t="s">
        <v>82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 t="n">
        <v>47</v>
      </c>
      <c r="AC79" s="3" t="n">
        <v>0</v>
      </c>
      <c r="AD79" s="6" t="s">
        <v>43</v>
      </c>
      <c r="AE79" s="3" t="s">
        <v>44</v>
      </c>
      <c r="AF79" s="6" t="s">
        <v>43</v>
      </c>
      <c r="AG79" s="6" t="s">
        <v>43</v>
      </c>
      <c r="AH79" s="6" t="s">
        <v>43</v>
      </c>
      <c r="AI79" s="3"/>
      <c r="AJ79" s="3"/>
      <c r="AK79" s="3"/>
      <c r="AL79" s="7" t="n">
        <f aca="false">IF(A79="","",IF(COUNTIF(A79:A$2001,A79)=1,1,0))</f>
        <v>1</v>
      </c>
      <c r="AM79" s="7" t="n">
        <f aca="true">IF(I79="","",TODAY()-I79)</f>
        <v>123</v>
      </c>
      <c r="AN79" s="7" t="n">
        <f aca="false">IF(A79="","",IF(AND(E79&lt;&gt;"33 確認済",E79&lt;&gt;"36 送付中"),1,0))</f>
        <v>1</v>
      </c>
      <c r="AO79" s="7" t="n">
        <f aca="false">IF(A79="","",IF(AG79&lt;&gt;"",1,0))</f>
        <v>1</v>
      </c>
    </row>
    <row r="80" customFormat="false" ht="15" hidden="false" customHeight="false" outlineLevel="0" collapsed="false">
      <c r="A80" s="3" t="n">
        <v>202660000682</v>
      </c>
      <c r="B80" s="3"/>
      <c r="C80" s="3"/>
      <c r="D80" s="3" t="n">
        <v>40</v>
      </c>
      <c r="E80" s="3" t="s">
        <v>49</v>
      </c>
      <c r="F80" s="3" t="n">
        <v>20</v>
      </c>
      <c r="G80" s="3" t="s">
        <v>50</v>
      </c>
      <c r="H80" s="4" t="n">
        <v>46074</v>
      </c>
      <c r="I80" s="5" t="n">
        <v>46177</v>
      </c>
      <c r="J80" s="4" t="n">
        <v>46188</v>
      </c>
      <c r="K80" s="4" t="n">
        <v>46188</v>
      </c>
      <c r="L80" s="3"/>
      <c r="M80" s="3"/>
      <c r="N80" s="3"/>
      <c r="O80" s="3" t="s">
        <v>67</v>
      </c>
      <c r="P80" s="6" t="s">
        <v>60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 t="n">
        <v>27</v>
      </c>
      <c r="AC80" s="3" t="n">
        <v>1</v>
      </c>
      <c r="AD80" s="6" t="s">
        <v>46</v>
      </c>
      <c r="AE80" s="3" t="s">
        <v>66</v>
      </c>
      <c r="AF80" s="6" t="s">
        <v>46</v>
      </c>
      <c r="AG80" s="6" t="s">
        <v>46</v>
      </c>
      <c r="AH80" s="6" t="s">
        <v>46</v>
      </c>
      <c r="AI80" s="3"/>
      <c r="AJ80" s="3"/>
      <c r="AK80" s="3"/>
      <c r="AL80" s="7" t="n">
        <f aca="false">IF(A80="","",IF(COUNTIF(A80:A$2001,A80)=1,1,0))</f>
        <v>1</v>
      </c>
      <c r="AM80" s="7" t="n">
        <f aca="true">IF(I80="","",TODAY()-I80)</f>
        <v>113</v>
      </c>
      <c r="AN80" s="7" t="n">
        <f aca="false">IF(A80="","",IF(AND(E80&lt;&gt;"33 確認済",E80&lt;&gt;"36 送付中"),1,0))</f>
        <v>1</v>
      </c>
      <c r="AO80" s="7" t="n">
        <f aca="false">IF(A80="","",IF(AG80&lt;&gt;"",1,0))</f>
        <v>1</v>
      </c>
    </row>
    <row r="81" customFormat="false" ht="15" hidden="false" customHeight="false" outlineLevel="0" collapsed="false">
      <c r="A81" s="3" t="n">
        <v>202660000703</v>
      </c>
      <c r="B81" s="3"/>
      <c r="C81" s="3"/>
      <c r="D81" s="3" t="n">
        <v>20</v>
      </c>
      <c r="E81" s="3" t="s">
        <v>69</v>
      </c>
      <c r="F81" s="3"/>
      <c r="G81" s="3"/>
      <c r="H81" s="4" t="n">
        <v>46113</v>
      </c>
      <c r="I81" s="5" t="n">
        <v>46174</v>
      </c>
      <c r="J81" s="3"/>
      <c r="K81" s="3"/>
      <c r="L81" s="3"/>
      <c r="M81" s="3"/>
      <c r="N81" s="3"/>
      <c r="O81" s="3" t="s">
        <v>67</v>
      </c>
      <c r="P81" s="6" t="s">
        <v>60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 t="n">
        <v>26</v>
      </c>
      <c r="AC81" s="3" t="n">
        <v>1</v>
      </c>
      <c r="AD81" s="6" t="s">
        <v>46</v>
      </c>
      <c r="AE81" s="3" t="s">
        <v>57</v>
      </c>
      <c r="AF81" s="3"/>
      <c r="AG81" s="6" t="s">
        <v>46</v>
      </c>
      <c r="AH81" s="6" t="s">
        <v>46</v>
      </c>
      <c r="AI81" s="3"/>
      <c r="AJ81" s="3"/>
      <c r="AK81" s="3"/>
      <c r="AL81" s="7" t="n">
        <f aca="false">IF(A81="","",IF(COUNTIF(A81:A$2001,A81)=1,1,0))</f>
        <v>1</v>
      </c>
      <c r="AM81" s="7" t="n">
        <f aca="true">IF(I81="","",TODAY()-I81)</f>
        <v>116</v>
      </c>
      <c r="AN81" s="7" t="n">
        <f aca="false">IF(A81="","",IF(AND(E81&lt;&gt;"33 確認済",E81&lt;&gt;"36 送付中"),1,0))</f>
        <v>1</v>
      </c>
      <c r="AO81" s="7" t="n">
        <f aca="false">IF(A81="","",IF(AG81&lt;&gt;"",1,0))</f>
        <v>1</v>
      </c>
    </row>
    <row r="82" customFormat="false" ht="15" hidden="false" customHeight="false" outlineLevel="0" collapsed="false">
      <c r="A82" s="3" t="n">
        <v>202660000721</v>
      </c>
      <c r="B82" s="3"/>
      <c r="C82" s="3"/>
      <c r="D82" s="3" t="n">
        <v>20</v>
      </c>
      <c r="E82" s="3" t="s">
        <v>69</v>
      </c>
      <c r="F82" s="3" t="n">
        <v>20</v>
      </c>
      <c r="G82" s="3" t="s">
        <v>50</v>
      </c>
      <c r="H82" s="4" t="n">
        <v>46139</v>
      </c>
      <c r="I82" s="5" t="n">
        <v>46181</v>
      </c>
      <c r="J82" s="4" t="n">
        <v>46189</v>
      </c>
      <c r="K82" s="4" t="n">
        <v>46189</v>
      </c>
      <c r="L82" s="3"/>
      <c r="M82" s="3"/>
      <c r="N82" s="3"/>
      <c r="O82" s="3" t="s">
        <v>86</v>
      </c>
      <c r="P82" s="3"/>
      <c r="Q82" s="3"/>
      <c r="R82" s="3"/>
      <c r="S82" s="6" t="s">
        <v>58</v>
      </c>
      <c r="T82" s="3"/>
      <c r="U82" s="3"/>
      <c r="V82" s="3"/>
      <c r="W82" s="3"/>
      <c r="X82" s="3"/>
      <c r="Y82" s="3"/>
      <c r="Z82" s="3"/>
      <c r="AA82" s="3"/>
      <c r="AB82" s="3" t="n">
        <v>23</v>
      </c>
      <c r="AC82" s="3" t="n">
        <v>1</v>
      </c>
      <c r="AD82" s="6" t="s">
        <v>46</v>
      </c>
      <c r="AE82" s="3" t="s">
        <v>52</v>
      </c>
      <c r="AF82" s="3"/>
      <c r="AG82" s="3"/>
      <c r="AH82" s="6" t="s">
        <v>46</v>
      </c>
      <c r="AI82" s="3"/>
      <c r="AJ82" s="3"/>
      <c r="AK82" s="3"/>
      <c r="AL82" s="7" t="n">
        <f aca="false">IF(A82="","",IF(COUNTIF(A82:A$2001,A82)=1,1,0))</f>
        <v>0</v>
      </c>
      <c r="AM82" s="7" t="n">
        <f aca="true">IF(I82="","",TODAY()-I82)</f>
        <v>109</v>
      </c>
      <c r="AN82" s="7" t="n">
        <f aca="false">IF(A82="","",IF(AND(E82&lt;&gt;"33 確認済",E82&lt;&gt;"36 送付中"),1,0))</f>
        <v>1</v>
      </c>
      <c r="AO82" s="7" t="n">
        <f aca="false">IF(A82="","",IF(AG82&lt;&gt;"",1,0))</f>
        <v>0</v>
      </c>
    </row>
    <row r="83" customFormat="false" ht="15" hidden="false" customHeight="false" outlineLevel="0" collapsed="false">
      <c r="A83" s="3" t="n">
        <v>202660000721</v>
      </c>
      <c r="B83" s="3"/>
      <c r="C83" s="3"/>
      <c r="D83" s="3" t="n">
        <v>20</v>
      </c>
      <c r="E83" s="3" t="s">
        <v>69</v>
      </c>
      <c r="F83" s="3" t="n">
        <v>20</v>
      </c>
      <c r="G83" s="3" t="s">
        <v>50</v>
      </c>
      <c r="H83" s="4" t="n">
        <v>46139</v>
      </c>
      <c r="I83" s="5" t="n">
        <v>46181</v>
      </c>
      <c r="J83" s="4" t="n">
        <v>46189</v>
      </c>
      <c r="K83" s="4" t="n">
        <v>46189</v>
      </c>
      <c r="L83" s="3"/>
      <c r="M83" s="3"/>
      <c r="N83" s="3"/>
      <c r="O83" s="3" t="s">
        <v>86</v>
      </c>
      <c r="P83" s="3"/>
      <c r="Q83" s="3"/>
      <c r="R83" s="3"/>
      <c r="S83" s="6" t="s">
        <v>58</v>
      </c>
      <c r="T83" s="3"/>
      <c r="U83" s="3"/>
      <c r="V83" s="3"/>
      <c r="W83" s="3"/>
      <c r="X83" s="3"/>
      <c r="Y83" s="3"/>
      <c r="Z83" s="3"/>
      <c r="AA83" s="3"/>
      <c r="AB83" s="3" t="n">
        <v>23</v>
      </c>
      <c r="AC83" s="3" t="n">
        <v>1</v>
      </c>
      <c r="AD83" s="6" t="s">
        <v>46</v>
      </c>
      <c r="AE83" s="3" t="s">
        <v>53</v>
      </c>
      <c r="AF83" s="3"/>
      <c r="AG83" s="3"/>
      <c r="AH83" s="6" t="s">
        <v>46</v>
      </c>
      <c r="AI83" s="3"/>
      <c r="AJ83" s="3"/>
      <c r="AK83" s="3"/>
      <c r="AL83" s="7" t="n">
        <f aca="false">IF(A83="","",IF(COUNTIF(A83:A$2001,A83)=1,1,0))</f>
        <v>1</v>
      </c>
      <c r="AM83" s="7" t="n">
        <f aca="true">IF(I83="","",TODAY()-I83)</f>
        <v>109</v>
      </c>
      <c r="AN83" s="7" t="n">
        <f aca="false">IF(A83="","",IF(AND(E83&lt;&gt;"33 確認済",E83&lt;&gt;"36 送付中"),1,0))</f>
        <v>1</v>
      </c>
      <c r="AO83" s="7" t="n">
        <f aca="false">IF(A83="","",IF(AG83&lt;&gt;"",1,0))</f>
        <v>0</v>
      </c>
    </row>
    <row r="84" customFormat="false" ht="15" hidden="false" customHeight="false" outlineLevel="0" collapsed="false">
      <c r="A84" s="3" t="n">
        <v>202660000762</v>
      </c>
      <c r="B84" s="3"/>
      <c r="C84" s="3"/>
      <c r="D84" s="3" t="n">
        <v>32</v>
      </c>
      <c r="E84" s="3" t="s">
        <v>74</v>
      </c>
      <c r="F84" s="3"/>
      <c r="G84" s="3"/>
      <c r="H84" s="4" t="n">
        <v>46174</v>
      </c>
      <c r="I84" s="5" t="n">
        <v>46182</v>
      </c>
      <c r="J84" s="4" t="n">
        <v>46196</v>
      </c>
      <c r="K84" s="4" t="n">
        <v>46196</v>
      </c>
      <c r="L84" s="3"/>
      <c r="M84" s="3"/>
      <c r="N84" s="3"/>
      <c r="O84" s="3" t="s">
        <v>82</v>
      </c>
      <c r="P84" s="3"/>
      <c r="Q84" s="3"/>
      <c r="R84" s="6" t="s">
        <v>71</v>
      </c>
      <c r="S84" s="3"/>
      <c r="T84" s="3"/>
      <c r="U84" s="6" t="s">
        <v>68</v>
      </c>
      <c r="V84" s="3"/>
      <c r="W84" s="3"/>
      <c r="X84" s="3"/>
      <c r="Y84" s="3"/>
      <c r="Z84" s="3"/>
      <c r="AA84" s="3"/>
      <c r="AB84" s="3" t="n">
        <v>27</v>
      </c>
      <c r="AC84" s="3" t="n">
        <v>1</v>
      </c>
      <c r="AD84" s="6" t="s">
        <v>46</v>
      </c>
      <c r="AE84" s="3" t="s">
        <v>66</v>
      </c>
      <c r="AF84" s="6" t="s">
        <v>46</v>
      </c>
      <c r="AG84" s="6" t="s">
        <v>46</v>
      </c>
      <c r="AH84" s="6" t="s">
        <v>46</v>
      </c>
      <c r="AI84" s="3"/>
      <c r="AJ84" s="3"/>
      <c r="AK84" s="3"/>
      <c r="AL84" s="7" t="n">
        <f aca="false">IF(A84="","",IF(COUNTIF(A84:A$2001,A84)=1,1,0))</f>
        <v>1</v>
      </c>
      <c r="AM84" s="7" t="n">
        <f aca="true">IF(I84="","",TODAY()-I84)</f>
        <v>108</v>
      </c>
      <c r="AN84" s="7" t="n">
        <f aca="false">IF(A84="","",IF(AND(E84&lt;&gt;"33 確認済",E84&lt;&gt;"36 送付中"),1,0))</f>
        <v>1</v>
      </c>
      <c r="AO84" s="7" t="n">
        <f aca="false">IF(A84="","",IF(AG84&lt;&gt;"",1,0))</f>
        <v>1</v>
      </c>
    </row>
    <row r="85" customFormat="false" ht="15" hidden="false" customHeight="false" outlineLevel="0" collapsed="false">
      <c r="A85" s="3" t="n">
        <v>202660000774</v>
      </c>
      <c r="B85" s="3"/>
      <c r="C85" s="3"/>
      <c r="D85" s="3" t="n">
        <v>33</v>
      </c>
      <c r="E85" s="3" t="s">
        <v>89</v>
      </c>
      <c r="F85" s="3" t="n">
        <v>20</v>
      </c>
      <c r="G85" s="3" t="s">
        <v>50</v>
      </c>
      <c r="H85" s="4" t="n">
        <v>46175</v>
      </c>
      <c r="I85" s="5" t="n">
        <v>46231</v>
      </c>
      <c r="J85" s="4" t="n">
        <v>46280</v>
      </c>
      <c r="K85" s="4" t="n">
        <v>46280</v>
      </c>
      <c r="L85" s="3"/>
      <c r="M85" s="3"/>
      <c r="N85" s="3"/>
      <c r="O85" s="3" t="s">
        <v>51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 t="n">
        <v>21</v>
      </c>
      <c r="AC85" s="3" t="n">
        <v>1</v>
      </c>
      <c r="AD85" s="6" t="s">
        <v>46</v>
      </c>
      <c r="AE85" s="3" t="s">
        <v>55</v>
      </c>
      <c r="AF85" s="6" t="s">
        <v>46</v>
      </c>
      <c r="AG85" s="6" t="s">
        <v>46</v>
      </c>
      <c r="AH85" s="6" t="s">
        <v>46</v>
      </c>
      <c r="AI85" s="3"/>
      <c r="AJ85" s="3"/>
      <c r="AK85" s="3"/>
      <c r="AL85" s="7" t="n">
        <f aca="false">IF(A85="","",IF(COUNTIF(A85:A$2001,A85)=1,1,0))</f>
        <v>1</v>
      </c>
      <c r="AM85" s="7" t="n">
        <f aca="true">IF(I85="","",TODAY()-I85)</f>
        <v>59</v>
      </c>
      <c r="AN85" s="7" t="n">
        <f aca="false">IF(A85="","",IF(AND(E85&lt;&gt;"33 確認済",E85&lt;&gt;"36 送付中"),1,0))</f>
        <v>0</v>
      </c>
      <c r="AO85" s="7" t="n">
        <f aca="false">IF(A85="","",IF(AG85&lt;&gt;"",1,0))</f>
        <v>1</v>
      </c>
    </row>
    <row r="86" customFormat="false" ht="15" hidden="false" customHeight="false" outlineLevel="0" collapsed="false">
      <c r="A86" s="3" t="n">
        <v>202660000808</v>
      </c>
      <c r="B86" s="3"/>
      <c r="C86" s="3"/>
      <c r="D86" s="3" t="n">
        <v>31</v>
      </c>
      <c r="E86" s="3" t="s">
        <v>41</v>
      </c>
      <c r="F86" s="3"/>
      <c r="G86" s="3"/>
      <c r="H86" s="4" t="n">
        <v>46172</v>
      </c>
      <c r="I86" s="5" t="n">
        <v>46188</v>
      </c>
      <c r="J86" s="4" t="n">
        <v>46189</v>
      </c>
      <c r="K86" s="4" t="n">
        <v>46239</v>
      </c>
      <c r="L86" s="3"/>
      <c r="M86" s="3"/>
      <c r="N86" s="3"/>
      <c r="O86" s="3" t="s">
        <v>42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 t="n">
        <v>23</v>
      </c>
      <c r="AC86" s="3" t="n">
        <v>1</v>
      </c>
      <c r="AD86" s="6" t="s">
        <v>46</v>
      </c>
      <c r="AE86" s="3" t="s">
        <v>52</v>
      </c>
      <c r="AF86" s="3"/>
      <c r="AG86" s="3"/>
      <c r="AH86" s="3"/>
      <c r="AI86" s="3"/>
      <c r="AJ86" s="3"/>
      <c r="AK86" s="3"/>
      <c r="AL86" s="7" t="n">
        <f aca="false">IF(A86="","",IF(COUNTIF(A86:A$2001,A86)=1,1,0))</f>
        <v>0</v>
      </c>
      <c r="AM86" s="7" t="n">
        <f aca="true">IF(I86="","",TODAY()-I86)</f>
        <v>102</v>
      </c>
      <c r="AN86" s="7" t="n">
        <f aca="false">IF(A86="","",IF(AND(E86&lt;&gt;"33 確認済",E86&lt;&gt;"36 送付中"),1,0))</f>
        <v>1</v>
      </c>
      <c r="AO86" s="7" t="n">
        <f aca="false">IF(A86="","",IF(AG86&lt;&gt;"",1,0))</f>
        <v>0</v>
      </c>
    </row>
    <row r="87" customFormat="false" ht="15" hidden="false" customHeight="false" outlineLevel="0" collapsed="false">
      <c r="A87" s="3" t="n">
        <v>202660000808</v>
      </c>
      <c r="B87" s="3"/>
      <c r="C87" s="3"/>
      <c r="D87" s="3" t="n">
        <v>31</v>
      </c>
      <c r="E87" s="3" t="s">
        <v>41</v>
      </c>
      <c r="F87" s="3"/>
      <c r="G87" s="3"/>
      <c r="H87" s="4" t="n">
        <v>46172</v>
      </c>
      <c r="I87" s="5" t="n">
        <v>46188</v>
      </c>
      <c r="J87" s="4" t="n">
        <v>46189</v>
      </c>
      <c r="K87" s="4" t="n">
        <v>46239</v>
      </c>
      <c r="L87" s="3"/>
      <c r="M87" s="3"/>
      <c r="N87" s="3"/>
      <c r="O87" s="3" t="s">
        <v>42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 t="n">
        <v>23</v>
      </c>
      <c r="AC87" s="3" t="n">
        <v>1</v>
      </c>
      <c r="AD87" s="6" t="s">
        <v>46</v>
      </c>
      <c r="AE87" s="3" t="s">
        <v>53</v>
      </c>
      <c r="AF87" s="3"/>
      <c r="AG87" s="3"/>
      <c r="AH87" s="3"/>
      <c r="AI87" s="3"/>
      <c r="AJ87" s="3"/>
      <c r="AK87" s="3"/>
      <c r="AL87" s="7" t="n">
        <f aca="false">IF(A87="","",IF(COUNTIF(A87:A$2001,A87)=1,1,0))</f>
        <v>1</v>
      </c>
      <c r="AM87" s="7" t="n">
        <f aca="true">IF(I87="","",TODAY()-I87)</f>
        <v>102</v>
      </c>
      <c r="AN87" s="7" t="n">
        <f aca="false">IF(A87="","",IF(AND(E87&lt;&gt;"33 確認済",E87&lt;&gt;"36 送付中"),1,0))</f>
        <v>1</v>
      </c>
      <c r="AO87" s="7" t="n">
        <f aca="false">IF(A87="","",IF(AG87&lt;&gt;"",1,0))</f>
        <v>0</v>
      </c>
    </row>
    <row r="88" customFormat="false" ht="15" hidden="false" customHeight="false" outlineLevel="0" collapsed="false">
      <c r="A88" s="3" t="n">
        <v>202660000834</v>
      </c>
      <c r="B88" s="3"/>
      <c r="C88" s="3"/>
      <c r="D88" s="3" t="n">
        <v>20</v>
      </c>
      <c r="E88" s="3" t="s">
        <v>69</v>
      </c>
      <c r="F88" s="3" t="n">
        <v>20</v>
      </c>
      <c r="G88" s="3" t="s">
        <v>50</v>
      </c>
      <c r="H88" s="4" t="n">
        <v>46181</v>
      </c>
      <c r="I88" s="5" t="n">
        <v>46204</v>
      </c>
      <c r="J88" s="4" t="n">
        <v>46226</v>
      </c>
      <c r="K88" s="4" t="n">
        <v>46226</v>
      </c>
      <c r="L88" s="3"/>
      <c r="M88" s="3"/>
      <c r="N88" s="3"/>
      <c r="O88" s="3" t="s">
        <v>90</v>
      </c>
      <c r="P88" s="3"/>
      <c r="Q88" s="3"/>
      <c r="R88" s="3"/>
      <c r="S88" s="6" t="s">
        <v>58</v>
      </c>
      <c r="T88" s="3"/>
      <c r="U88" s="3"/>
      <c r="V88" s="3"/>
      <c r="W88" s="3"/>
      <c r="X88" s="3"/>
      <c r="Y88" s="3"/>
      <c r="Z88" s="3"/>
      <c r="AA88" s="3"/>
      <c r="AB88" s="3" t="n">
        <v>24</v>
      </c>
      <c r="AC88" s="3" t="n">
        <v>1</v>
      </c>
      <c r="AD88" s="6" t="s">
        <v>46</v>
      </c>
      <c r="AE88" s="3" t="s">
        <v>91</v>
      </c>
      <c r="AF88" s="6" t="s">
        <v>46</v>
      </c>
      <c r="AG88" s="6" t="s">
        <v>46</v>
      </c>
      <c r="AH88" s="3"/>
      <c r="AI88" s="3"/>
      <c r="AJ88" s="3"/>
      <c r="AK88" s="3"/>
      <c r="AL88" s="7" t="n">
        <f aca="false">IF(A88="","",IF(COUNTIF(A88:A$2001,A88)=1,1,0))</f>
        <v>1</v>
      </c>
      <c r="AM88" s="7" t="n">
        <f aca="true">IF(I88="","",TODAY()-I88)</f>
        <v>86</v>
      </c>
      <c r="AN88" s="7" t="n">
        <f aca="false">IF(A88="","",IF(AND(E88&lt;&gt;"33 確認済",E88&lt;&gt;"36 送付中"),1,0))</f>
        <v>1</v>
      </c>
      <c r="AO88" s="7" t="n">
        <f aca="false">IF(A88="","",IF(AG88&lt;&gt;"",1,0))</f>
        <v>1</v>
      </c>
    </row>
    <row r="89" customFormat="false" ht="15" hidden="false" customHeight="false" outlineLevel="0" collapsed="false">
      <c r="A89" s="3" t="n">
        <v>202660000842</v>
      </c>
      <c r="B89" s="3"/>
      <c r="C89" s="3"/>
      <c r="D89" s="3" t="n">
        <v>40</v>
      </c>
      <c r="E89" s="3" t="s">
        <v>49</v>
      </c>
      <c r="F89" s="3" t="n">
        <v>20</v>
      </c>
      <c r="G89" s="3" t="s">
        <v>50</v>
      </c>
      <c r="H89" s="4" t="n">
        <v>46174</v>
      </c>
      <c r="I89" s="5" t="n">
        <v>46248</v>
      </c>
      <c r="J89" s="4" t="n">
        <v>46252</v>
      </c>
      <c r="K89" s="4" t="n">
        <v>46279</v>
      </c>
      <c r="L89" s="3"/>
      <c r="M89" s="3"/>
      <c r="N89" s="3"/>
      <c r="O89" s="3" t="s">
        <v>62</v>
      </c>
      <c r="P89" s="3"/>
      <c r="Q89" s="3"/>
      <c r="R89" s="3"/>
      <c r="S89" s="3"/>
      <c r="T89" s="3"/>
      <c r="U89" s="3"/>
      <c r="V89" s="3"/>
      <c r="W89" s="6" t="s">
        <v>63</v>
      </c>
      <c r="X89" s="3"/>
      <c r="Y89" s="3"/>
      <c r="Z89" s="3"/>
      <c r="AA89" s="3"/>
      <c r="AB89" s="3" t="n">
        <v>47</v>
      </c>
      <c r="AC89" s="3" t="n">
        <v>0</v>
      </c>
      <c r="AD89" s="6" t="s">
        <v>43</v>
      </c>
      <c r="AE89" s="3" t="s">
        <v>44</v>
      </c>
      <c r="AF89" s="3"/>
      <c r="AG89" s="6" t="s">
        <v>43</v>
      </c>
      <c r="AH89" s="6" t="s">
        <v>43</v>
      </c>
      <c r="AI89" s="3"/>
      <c r="AJ89" s="3"/>
      <c r="AK89" s="3"/>
      <c r="AL89" s="7" t="n">
        <f aca="false">IF(A89="","",IF(COUNTIF(A89:A$2001,A89)=1,1,0))</f>
        <v>1</v>
      </c>
      <c r="AM89" s="7" t="n">
        <f aca="true">IF(I89="","",TODAY()-I89)</f>
        <v>42</v>
      </c>
      <c r="AN89" s="7" t="n">
        <f aca="false">IF(A89="","",IF(AND(E89&lt;&gt;"33 確認済",E89&lt;&gt;"36 送付中"),1,0))</f>
        <v>1</v>
      </c>
      <c r="AO89" s="7" t="n">
        <f aca="false">IF(A89="","",IF(AG89&lt;&gt;"",1,0))</f>
        <v>1</v>
      </c>
    </row>
    <row r="90" customFormat="false" ht="15" hidden="false" customHeight="false" outlineLevel="0" collapsed="false">
      <c r="A90" s="3" t="n">
        <v>202660000850</v>
      </c>
      <c r="B90" s="3"/>
      <c r="C90" s="3"/>
      <c r="D90" s="3" t="n">
        <v>31</v>
      </c>
      <c r="E90" s="3" t="s">
        <v>41</v>
      </c>
      <c r="F90" s="3" t="n">
        <v>20</v>
      </c>
      <c r="G90" s="3" t="s">
        <v>50</v>
      </c>
      <c r="H90" s="4" t="n">
        <v>46167</v>
      </c>
      <c r="I90" s="5" t="n">
        <v>46225</v>
      </c>
      <c r="J90" s="4" t="n">
        <v>46282</v>
      </c>
      <c r="K90" s="4" t="n">
        <v>46282</v>
      </c>
      <c r="L90" s="3"/>
      <c r="M90" s="3"/>
      <c r="N90" s="3"/>
      <c r="O90" s="3" t="s">
        <v>42</v>
      </c>
      <c r="P90" s="3"/>
      <c r="Q90" s="3"/>
      <c r="R90" s="3"/>
      <c r="S90" s="6" t="s">
        <v>58</v>
      </c>
      <c r="T90" s="3"/>
      <c r="U90" s="3"/>
      <c r="V90" s="3"/>
      <c r="W90" s="3"/>
      <c r="X90" s="3"/>
      <c r="Y90" s="3"/>
      <c r="Z90" s="3"/>
      <c r="AA90" s="3"/>
      <c r="AB90" s="3" t="n">
        <v>22</v>
      </c>
      <c r="AC90" s="3" t="n">
        <v>1</v>
      </c>
      <c r="AD90" s="6" t="s">
        <v>46</v>
      </c>
      <c r="AE90" s="3" t="s">
        <v>47</v>
      </c>
      <c r="AF90" s="6" t="s">
        <v>46</v>
      </c>
      <c r="AG90" s="6" t="s">
        <v>46</v>
      </c>
      <c r="AH90" s="6" t="s">
        <v>46</v>
      </c>
      <c r="AI90" s="3"/>
      <c r="AJ90" s="3"/>
      <c r="AK90" s="3"/>
      <c r="AL90" s="7" t="n">
        <f aca="false">IF(A90="","",IF(COUNTIF(A90:A$2001,A90)=1,1,0))</f>
        <v>1</v>
      </c>
      <c r="AM90" s="7" t="n">
        <f aca="true">IF(I90="","",TODAY()-I90)</f>
        <v>65</v>
      </c>
      <c r="AN90" s="7" t="n">
        <f aca="false">IF(A90="","",IF(AND(E90&lt;&gt;"33 確認済",E90&lt;&gt;"36 送付中"),1,0))</f>
        <v>1</v>
      </c>
      <c r="AO90" s="7" t="n">
        <f aca="false">IF(A90="","",IF(AG90&lt;&gt;"",1,0))</f>
        <v>1</v>
      </c>
    </row>
    <row r="91" customFormat="false" ht="15" hidden="false" customHeight="false" outlineLevel="0" collapsed="false">
      <c r="A91" s="3" t="n">
        <v>202660000868</v>
      </c>
      <c r="B91" s="3"/>
      <c r="C91" s="3"/>
      <c r="D91" s="3" t="n">
        <v>31</v>
      </c>
      <c r="E91" s="3" t="s">
        <v>41</v>
      </c>
      <c r="F91" s="3"/>
      <c r="G91" s="3"/>
      <c r="H91" s="4" t="n">
        <v>46113</v>
      </c>
      <c r="I91" s="5" t="n">
        <v>46197</v>
      </c>
      <c r="J91" s="4" t="n">
        <v>46198</v>
      </c>
      <c r="K91" s="4" t="n">
        <v>46198</v>
      </c>
      <c r="L91" s="3"/>
      <c r="M91" s="3"/>
      <c r="N91" s="3"/>
      <c r="O91" s="3" t="s">
        <v>56</v>
      </c>
      <c r="P91" s="6" t="s">
        <v>60</v>
      </c>
      <c r="Q91" s="3"/>
      <c r="R91" s="3"/>
      <c r="S91" s="3"/>
      <c r="T91" s="3"/>
      <c r="U91" s="6" t="s">
        <v>68</v>
      </c>
      <c r="V91" s="3"/>
      <c r="W91" s="3"/>
      <c r="X91" s="3"/>
      <c r="Y91" s="3"/>
      <c r="Z91" s="3"/>
      <c r="AA91" s="3"/>
      <c r="AB91" s="3" t="n">
        <v>50</v>
      </c>
      <c r="AC91" s="3" t="n">
        <v>0</v>
      </c>
      <c r="AD91" s="6" t="s">
        <v>43</v>
      </c>
      <c r="AE91" s="3" t="s">
        <v>59</v>
      </c>
      <c r="AF91" s="3"/>
      <c r="AG91" s="6" t="s">
        <v>43</v>
      </c>
      <c r="AH91" s="3"/>
      <c r="AI91" s="3"/>
      <c r="AJ91" s="3"/>
      <c r="AK91" s="3"/>
      <c r="AL91" s="7" t="n">
        <f aca="false">IF(A91="","",IF(COUNTIF(A91:A$2001,A91)=1,1,0))</f>
        <v>1</v>
      </c>
      <c r="AM91" s="7" t="n">
        <f aca="true">IF(I91="","",TODAY()-I91)</f>
        <v>93</v>
      </c>
      <c r="AN91" s="7" t="n">
        <f aca="false">IF(A91="","",IF(AND(E91&lt;&gt;"33 確認済",E91&lt;&gt;"36 送付中"),1,0))</f>
        <v>1</v>
      </c>
      <c r="AO91" s="7" t="n">
        <f aca="false">IF(A91="","",IF(AG91&lt;&gt;"",1,0))</f>
        <v>1</v>
      </c>
    </row>
    <row r="92" customFormat="false" ht="15" hidden="false" customHeight="false" outlineLevel="0" collapsed="false">
      <c r="A92" s="3" t="n">
        <v>202660000900</v>
      </c>
      <c r="B92" s="3"/>
      <c r="C92" s="3"/>
      <c r="D92" s="3" t="n">
        <v>33</v>
      </c>
      <c r="E92" s="3" t="s">
        <v>89</v>
      </c>
      <c r="F92" s="3" t="n">
        <v>20</v>
      </c>
      <c r="G92" s="3" t="s">
        <v>50</v>
      </c>
      <c r="H92" s="4" t="n">
        <v>46188</v>
      </c>
      <c r="I92" s="5" t="n">
        <v>46203</v>
      </c>
      <c r="J92" s="4" t="n">
        <v>46279</v>
      </c>
      <c r="K92" s="4" t="n">
        <v>46279</v>
      </c>
      <c r="L92" s="3"/>
      <c r="M92" s="3"/>
      <c r="N92" s="3"/>
      <c r="O92" s="3" t="s">
        <v>51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 t="n">
        <v>21</v>
      </c>
      <c r="AC92" s="3" t="n">
        <v>1</v>
      </c>
      <c r="AD92" s="6" t="s">
        <v>46</v>
      </c>
      <c r="AE92" s="3" t="s">
        <v>55</v>
      </c>
      <c r="AF92" s="6" t="s">
        <v>46</v>
      </c>
      <c r="AG92" s="3"/>
      <c r="AH92" s="3"/>
      <c r="AI92" s="3"/>
      <c r="AJ92" s="3"/>
      <c r="AK92" s="3"/>
      <c r="AL92" s="7" t="n">
        <f aca="false">IF(A92="","",IF(COUNTIF(A92:A$2001,A92)=1,1,0))</f>
        <v>1</v>
      </c>
      <c r="AM92" s="7" t="n">
        <f aca="true">IF(I92="","",TODAY()-I92)</f>
        <v>87</v>
      </c>
      <c r="AN92" s="7" t="n">
        <f aca="false">IF(A92="","",IF(AND(E92&lt;&gt;"33 確認済",E92&lt;&gt;"36 送付中"),1,0))</f>
        <v>0</v>
      </c>
      <c r="AO92" s="7" t="n">
        <f aca="false">IF(A92="","",IF(AG92&lt;&gt;"",1,0))</f>
        <v>0</v>
      </c>
    </row>
    <row r="93" customFormat="false" ht="15" hidden="false" customHeight="false" outlineLevel="0" collapsed="false">
      <c r="A93" s="3" t="n">
        <v>202660000967</v>
      </c>
      <c r="B93" s="3"/>
      <c r="C93" s="3"/>
      <c r="D93" s="3" t="n">
        <v>20</v>
      </c>
      <c r="E93" s="3" t="s">
        <v>69</v>
      </c>
      <c r="F93" s="3" t="n">
        <v>20</v>
      </c>
      <c r="G93" s="3" t="s">
        <v>50</v>
      </c>
      <c r="H93" s="4" t="n">
        <v>46054</v>
      </c>
      <c r="I93" s="5" t="n">
        <v>46226</v>
      </c>
      <c r="J93" s="4" t="n">
        <v>46231</v>
      </c>
      <c r="K93" s="4" t="n">
        <v>46231</v>
      </c>
      <c r="L93" s="3"/>
      <c r="M93" s="3"/>
      <c r="N93" s="3"/>
      <c r="O93" s="3" t="s">
        <v>86</v>
      </c>
      <c r="P93" s="6" t="s">
        <v>60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 t="n">
        <v>47</v>
      </c>
      <c r="AC93" s="3" t="n">
        <v>0</v>
      </c>
      <c r="AD93" s="6" t="s">
        <v>43</v>
      </c>
      <c r="AE93" s="3" t="s">
        <v>44</v>
      </c>
      <c r="AF93" s="6" t="s">
        <v>43</v>
      </c>
      <c r="AG93" s="6" t="s">
        <v>43</v>
      </c>
      <c r="AH93" s="3"/>
      <c r="AI93" s="3"/>
      <c r="AJ93" s="3"/>
      <c r="AK93" s="3"/>
      <c r="AL93" s="7" t="n">
        <f aca="false">IF(A93="","",IF(COUNTIF(A93:A$2001,A93)=1,1,0))</f>
        <v>1</v>
      </c>
      <c r="AM93" s="7" t="n">
        <f aca="true">IF(I93="","",TODAY()-I93)</f>
        <v>64</v>
      </c>
      <c r="AN93" s="7" t="n">
        <f aca="false">IF(A93="","",IF(AND(E93&lt;&gt;"33 確認済",E93&lt;&gt;"36 送付中"),1,0))</f>
        <v>1</v>
      </c>
      <c r="AO93" s="7" t="n">
        <f aca="false">IF(A93="","",IF(AG93&lt;&gt;"",1,0))</f>
        <v>1</v>
      </c>
    </row>
    <row r="94" customFormat="false" ht="15" hidden="false" customHeight="false" outlineLevel="0" collapsed="false">
      <c r="A94" s="3" t="n">
        <v>202660001000</v>
      </c>
      <c r="B94" s="3"/>
      <c r="C94" s="3"/>
      <c r="D94" s="3" t="n">
        <v>40</v>
      </c>
      <c r="E94" s="3" t="s">
        <v>49</v>
      </c>
      <c r="F94" s="3" t="n">
        <v>20</v>
      </c>
      <c r="G94" s="3" t="s">
        <v>50</v>
      </c>
      <c r="H94" s="4" t="n">
        <v>46204</v>
      </c>
      <c r="I94" s="5" t="n">
        <v>46216</v>
      </c>
      <c r="J94" s="4" t="n">
        <v>46220</v>
      </c>
      <c r="K94" s="4" t="n">
        <v>46220</v>
      </c>
      <c r="L94" s="3"/>
      <c r="M94" s="3"/>
      <c r="N94" s="3"/>
      <c r="O94" s="3" t="s">
        <v>67</v>
      </c>
      <c r="P94" s="6" t="s">
        <v>60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 t="n">
        <v>26</v>
      </c>
      <c r="AC94" s="3" t="n">
        <v>1</v>
      </c>
      <c r="AD94" s="6" t="s">
        <v>46</v>
      </c>
      <c r="AE94" s="3" t="s">
        <v>57</v>
      </c>
      <c r="AF94" s="6" t="s">
        <v>46</v>
      </c>
      <c r="AG94" s="6" t="s">
        <v>46</v>
      </c>
      <c r="AH94" s="6" t="s">
        <v>46</v>
      </c>
      <c r="AI94" s="3"/>
      <c r="AJ94" s="3"/>
      <c r="AK94" s="3"/>
      <c r="AL94" s="7" t="n">
        <f aca="false">IF(A94="","",IF(COUNTIF(A94:A$2001,A94)=1,1,0))</f>
        <v>1</v>
      </c>
      <c r="AM94" s="7" t="n">
        <f aca="true">IF(I94="","",TODAY()-I94)</f>
        <v>74</v>
      </c>
      <c r="AN94" s="7" t="n">
        <f aca="false">IF(A94="","",IF(AND(E94&lt;&gt;"33 確認済",E94&lt;&gt;"36 送付中"),1,0))</f>
        <v>1</v>
      </c>
      <c r="AO94" s="7" t="n">
        <f aca="false">IF(A94="","",IF(AG94&lt;&gt;"",1,0))</f>
        <v>1</v>
      </c>
    </row>
    <row r="95" customFormat="false" ht="15" hidden="false" customHeight="false" outlineLevel="0" collapsed="false">
      <c r="A95" s="3" t="n">
        <v>202660001008</v>
      </c>
      <c r="B95" s="3"/>
      <c r="C95" s="3"/>
      <c r="D95" s="3" t="n">
        <v>31</v>
      </c>
      <c r="E95" s="3" t="s">
        <v>41</v>
      </c>
      <c r="F95" s="3"/>
      <c r="G95" s="3"/>
      <c r="H95" s="4" t="n">
        <v>46217</v>
      </c>
      <c r="I95" s="5" t="n">
        <v>46227</v>
      </c>
      <c r="J95" s="4" t="n">
        <v>46237</v>
      </c>
      <c r="K95" s="4" t="n">
        <v>46237</v>
      </c>
      <c r="L95" s="3"/>
      <c r="M95" s="3"/>
      <c r="N95" s="3"/>
      <c r="O95" s="3" t="s">
        <v>56</v>
      </c>
      <c r="P95" s="6" t="s">
        <v>60</v>
      </c>
      <c r="Q95" s="3"/>
      <c r="R95" s="3"/>
      <c r="S95" s="3"/>
      <c r="T95" s="3"/>
      <c r="U95" s="6" t="s">
        <v>68</v>
      </c>
      <c r="V95" s="3"/>
      <c r="W95" s="3"/>
      <c r="X95" s="3"/>
      <c r="Y95" s="3"/>
      <c r="Z95" s="3"/>
      <c r="AA95" s="3"/>
      <c r="AB95" s="3" t="n">
        <v>26</v>
      </c>
      <c r="AC95" s="3" t="n">
        <v>1</v>
      </c>
      <c r="AD95" s="6" t="s">
        <v>46</v>
      </c>
      <c r="AE95" s="3" t="s">
        <v>57</v>
      </c>
      <c r="AF95" s="6" t="s">
        <v>46</v>
      </c>
      <c r="AG95" s="6" t="s">
        <v>46</v>
      </c>
      <c r="AH95" s="6" t="s">
        <v>46</v>
      </c>
      <c r="AI95" s="3"/>
      <c r="AJ95" s="3"/>
      <c r="AK95" s="3"/>
      <c r="AL95" s="7" t="n">
        <f aca="false">IF(A95="","",IF(COUNTIF(A95:A$2001,A95)=1,1,0))</f>
        <v>1</v>
      </c>
      <c r="AM95" s="7" t="n">
        <f aca="true">IF(I95="","",TODAY()-I95)</f>
        <v>63</v>
      </c>
      <c r="AN95" s="7" t="n">
        <f aca="false">IF(A95="","",IF(AND(E95&lt;&gt;"33 確認済",E95&lt;&gt;"36 送付中"),1,0))</f>
        <v>1</v>
      </c>
      <c r="AO95" s="7" t="n">
        <f aca="false">IF(A95="","",IF(AG95&lt;&gt;"",1,0))</f>
        <v>1</v>
      </c>
    </row>
    <row r="96" customFormat="false" ht="15" hidden="false" customHeight="false" outlineLevel="0" collapsed="false">
      <c r="A96" s="3" t="n">
        <v>202660001026</v>
      </c>
      <c r="B96" s="3"/>
      <c r="C96" s="3"/>
      <c r="D96" s="3" t="n">
        <v>32</v>
      </c>
      <c r="E96" s="3" t="s">
        <v>74</v>
      </c>
      <c r="F96" s="3"/>
      <c r="G96" s="3"/>
      <c r="H96" s="4" t="n">
        <v>46204</v>
      </c>
      <c r="I96" s="5" t="n">
        <v>46220</v>
      </c>
      <c r="J96" s="4" t="n">
        <v>46224</v>
      </c>
      <c r="K96" s="4" t="n">
        <v>46224</v>
      </c>
      <c r="L96" s="3"/>
      <c r="M96" s="3"/>
      <c r="N96" s="3"/>
      <c r="O96" s="3" t="s">
        <v>82</v>
      </c>
      <c r="P96" s="6" t="s">
        <v>60</v>
      </c>
      <c r="Q96" s="3"/>
      <c r="R96" s="3"/>
      <c r="S96" s="3"/>
      <c r="T96" s="3"/>
      <c r="U96" s="6" t="s">
        <v>68</v>
      </c>
      <c r="V96" s="3"/>
      <c r="W96" s="3"/>
      <c r="X96" s="3"/>
      <c r="Y96" s="3"/>
      <c r="Z96" s="3"/>
      <c r="AA96" s="3"/>
      <c r="AB96" s="3" t="n">
        <v>22</v>
      </c>
      <c r="AC96" s="3" t="n">
        <v>1</v>
      </c>
      <c r="AD96" s="6" t="s">
        <v>46</v>
      </c>
      <c r="AE96" s="3" t="s">
        <v>47</v>
      </c>
      <c r="AF96" s="3"/>
      <c r="AG96" s="6" t="s">
        <v>46</v>
      </c>
      <c r="AH96" s="3"/>
      <c r="AI96" s="3"/>
      <c r="AJ96" s="3"/>
      <c r="AK96" s="3"/>
      <c r="AL96" s="7" t="n">
        <f aca="false">IF(A96="","",IF(COUNTIF(A96:A$2001,A96)=1,1,0))</f>
        <v>1</v>
      </c>
      <c r="AM96" s="7" t="n">
        <f aca="true">IF(I96="","",TODAY()-I96)</f>
        <v>70</v>
      </c>
      <c r="AN96" s="7" t="n">
        <f aca="false">IF(A96="","",IF(AND(E96&lt;&gt;"33 確認済",E96&lt;&gt;"36 送付中"),1,0))</f>
        <v>1</v>
      </c>
      <c r="AO96" s="7" t="n">
        <f aca="false">IF(A96="","",IF(AG96&lt;&gt;"",1,0))</f>
        <v>1</v>
      </c>
    </row>
    <row r="97" customFormat="false" ht="15" hidden="false" customHeight="false" outlineLevel="0" collapsed="false">
      <c r="A97" s="3" t="n">
        <v>202660001028</v>
      </c>
      <c r="B97" s="3"/>
      <c r="C97" s="3"/>
      <c r="D97" s="3" t="n">
        <v>36</v>
      </c>
      <c r="E97" s="3" t="s">
        <v>87</v>
      </c>
      <c r="F97" s="3"/>
      <c r="G97" s="3"/>
      <c r="H97" s="4" t="n">
        <v>46023</v>
      </c>
      <c r="I97" s="5" t="n">
        <v>46220</v>
      </c>
      <c r="J97" s="4" t="n">
        <v>46262</v>
      </c>
      <c r="K97" s="4" t="n">
        <v>46262</v>
      </c>
      <c r="L97" s="4" t="n">
        <v>46289</v>
      </c>
      <c r="M97" s="4" t="n">
        <v>46289</v>
      </c>
      <c r="N97" s="3"/>
      <c r="O97" s="3" t="s">
        <v>88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 t="n">
        <v>25</v>
      </c>
      <c r="AC97" s="3" t="n">
        <v>1</v>
      </c>
      <c r="AD97" s="6" t="s">
        <v>46</v>
      </c>
      <c r="AE97" s="3" t="s">
        <v>54</v>
      </c>
      <c r="AF97" s="3"/>
      <c r="AG97" s="3"/>
      <c r="AH97" s="6" t="s">
        <v>46</v>
      </c>
      <c r="AI97" s="3"/>
      <c r="AJ97" s="3"/>
      <c r="AK97" s="3"/>
      <c r="AL97" s="7" t="n">
        <f aca="false">IF(A97="","",IF(COUNTIF(A97:A$2001,A97)=1,1,0))</f>
        <v>1</v>
      </c>
      <c r="AM97" s="7" t="n">
        <f aca="true">IF(I97="","",TODAY()-I97)</f>
        <v>70</v>
      </c>
      <c r="AN97" s="7" t="n">
        <f aca="false">IF(A97="","",IF(AND(E97&lt;&gt;"33 確認済",E97&lt;&gt;"36 送付中"),1,0))</f>
        <v>0</v>
      </c>
      <c r="AO97" s="7" t="n">
        <f aca="false">IF(A97="","",IF(AG97&lt;&gt;"",1,0))</f>
        <v>0</v>
      </c>
    </row>
    <row r="98" customFormat="false" ht="15" hidden="false" customHeight="false" outlineLevel="0" collapsed="false">
      <c r="A98" s="3" t="n">
        <v>202660001033</v>
      </c>
      <c r="B98" s="3"/>
      <c r="C98" s="3"/>
      <c r="D98" s="3" t="n">
        <v>32</v>
      </c>
      <c r="E98" s="3" t="s">
        <v>74</v>
      </c>
      <c r="F98" s="3" t="n">
        <v>20</v>
      </c>
      <c r="G98" s="3" t="s">
        <v>50</v>
      </c>
      <c r="H98" s="4" t="n">
        <v>46237</v>
      </c>
      <c r="I98" s="5" t="n">
        <v>46247</v>
      </c>
      <c r="J98" s="4" t="n">
        <v>46279</v>
      </c>
      <c r="K98" s="4" t="n">
        <v>46279</v>
      </c>
      <c r="L98" s="3"/>
      <c r="M98" s="3"/>
      <c r="N98" s="3"/>
      <c r="O98" s="3" t="s">
        <v>75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 t="n">
        <v>21</v>
      </c>
      <c r="AC98" s="3" t="n">
        <v>1</v>
      </c>
      <c r="AD98" s="6" t="s">
        <v>46</v>
      </c>
      <c r="AE98" s="3" t="s">
        <v>55</v>
      </c>
      <c r="AF98" s="6" t="s">
        <v>46</v>
      </c>
      <c r="AG98" s="6" t="s">
        <v>46</v>
      </c>
      <c r="AH98" s="6" t="s">
        <v>46</v>
      </c>
      <c r="AI98" s="3"/>
      <c r="AJ98" s="3"/>
      <c r="AK98" s="3"/>
      <c r="AL98" s="7" t="n">
        <f aca="false">IF(A98="","",IF(COUNTIF(A98:A$2001,A98)=1,1,0))</f>
        <v>1</v>
      </c>
      <c r="AM98" s="7" t="n">
        <f aca="true">IF(I98="","",TODAY()-I98)</f>
        <v>43</v>
      </c>
      <c r="AN98" s="7" t="n">
        <f aca="false">IF(A98="","",IF(AND(E98&lt;&gt;"33 確認済",E98&lt;&gt;"36 送付中"),1,0))</f>
        <v>1</v>
      </c>
      <c r="AO98" s="7" t="n">
        <f aca="false">IF(A98="","",IF(AG98&lt;&gt;"",1,0))</f>
        <v>1</v>
      </c>
    </row>
    <row r="99" customFormat="false" ht="15" hidden="false" customHeight="false" outlineLevel="0" collapsed="false">
      <c r="A99" s="3" t="n">
        <v>202660001034</v>
      </c>
      <c r="B99" s="3"/>
      <c r="C99" s="3"/>
      <c r="D99" s="3" t="n">
        <v>33</v>
      </c>
      <c r="E99" s="3" t="s">
        <v>89</v>
      </c>
      <c r="F99" s="3" t="n">
        <v>20</v>
      </c>
      <c r="G99" s="3" t="s">
        <v>50</v>
      </c>
      <c r="H99" s="4" t="n">
        <v>46214</v>
      </c>
      <c r="I99" s="5" t="n">
        <v>46237</v>
      </c>
      <c r="J99" s="4" t="n">
        <v>46280</v>
      </c>
      <c r="K99" s="4" t="n">
        <v>46280</v>
      </c>
      <c r="L99" s="3"/>
      <c r="M99" s="3"/>
      <c r="N99" s="3"/>
      <c r="O99" s="3" t="s">
        <v>51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 t="n">
        <v>21</v>
      </c>
      <c r="AC99" s="3" t="n">
        <v>1</v>
      </c>
      <c r="AD99" s="6" t="s">
        <v>46</v>
      </c>
      <c r="AE99" s="3" t="s">
        <v>55</v>
      </c>
      <c r="AF99" s="6" t="s">
        <v>46</v>
      </c>
      <c r="AG99" s="6" t="s">
        <v>46</v>
      </c>
      <c r="AH99" s="6" t="s">
        <v>46</v>
      </c>
      <c r="AI99" s="3"/>
      <c r="AJ99" s="3"/>
      <c r="AK99" s="3"/>
      <c r="AL99" s="7" t="n">
        <f aca="false">IF(A99="","",IF(COUNTIF(A99:A$2001,A99)=1,1,0))</f>
        <v>1</v>
      </c>
      <c r="AM99" s="7" t="n">
        <f aca="true">IF(I99="","",TODAY()-I99)</f>
        <v>53</v>
      </c>
      <c r="AN99" s="7" t="n">
        <f aca="false">IF(A99="","",IF(AND(E99&lt;&gt;"33 確認済",E99&lt;&gt;"36 送付中"),1,0))</f>
        <v>0</v>
      </c>
      <c r="AO99" s="7" t="n">
        <f aca="false">IF(A99="","",IF(AG99&lt;&gt;"",1,0))</f>
        <v>1</v>
      </c>
    </row>
    <row r="100" customFormat="false" ht="15" hidden="false" customHeight="false" outlineLevel="0" collapsed="false">
      <c r="A100" s="3" t="n">
        <v>202660001060</v>
      </c>
      <c r="B100" s="3"/>
      <c r="C100" s="3"/>
      <c r="D100" s="3" t="n">
        <v>40</v>
      </c>
      <c r="E100" s="3" t="s">
        <v>49</v>
      </c>
      <c r="F100" s="3" t="n">
        <v>20</v>
      </c>
      <c r="G100" s="3" t="s">
        <v>50</v>
      </c>
      <c r="H100" s="4" t="n">
        <v>46211</v>
      </c>
      <c r="I100" s="5" t="n">
        <v>46227</v>
      </c>
      <c r="J100" s="4" t="n">
        <v>46262</v>
      </c>
      <c r="K100" s="4" t="n">
        <v>46262</v>
      </c>
      <c r="L100" s="3"/>
      <c r="M100" s="3"/>
      <c r="N100" s="3"/>
      <c r="O100" s="3" t="s">
        <v>67</v>
      </c>
      <c r="P100" s="6" t="s">
        <v>60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 t="n">
        <v>21</v>
      </c>
      <c r="AC100" s="3" t="n">
        <v>1</v>
      </c>
      <c r="AD100" s="6" t="s">
        <v>46</v>
      </c>
      <c r="AE100" s="3" t="s">
        <v>55</v>
      </c>
      <c r="AF100" s="6" t="s">
        <v>46</v>
      </c>
      <c r="AG100" s="6" t="s">
        <v>46</v>
      </c>
      <c r="AH100" s="6" t="s">
        <v>46</v>
      </c>
      <c r="AI100" s="3"/>
      <c r="AJ100" s="3"/>
      <c r="AK100" s="3"/>
      <c r="AL100" s="7" t="n">
        <f aca="false">IF(A100="","",IF(COUNTIF(A100:A$2001,A100)=1,1,0))</f>
        <v>1</v>
      </c>
      <c r="AM100" s="7" t="n">
        <f aca="true">IF(I100="","",TODAY()-I100)</f>
        <v>63</v>
      </c>
      <c r="AN100" s="7" t="n">
        <f aca="false">IF(A100="","",IF(AND(E100&lt;&gt;"33 確認済",E100&lt;&gt;"36 送付中"),1,0))</f>
        <v>1</v>
      </c>
      <c r="AO100" s="7" t="n">
        <f aca="false">IF(A100="","",IF(AG100&lt;&gt;"",1,0))</f>
        <v>1</v>
      </c>
    </row>
    <row r="101" customFormat="false" ht="15" hidden="false" customHeight="false" outlineLevel="0" collapsed="false">
      <c r="A101" s="3" t="n">
        <v>202660001066</v>
      </c>
      <c r="B101" s="3"/>
      <c r="C101" s="3"/>
      <c r="D101" s="3" t="n">
        <v>40</v>
      </c>
      <c r="E101" s="3" t="s">
        <v>49</v>
      </c>
      <c r="F101" s="3" t="n">
        <v>20</v>
      </c>
      <c r="G101" s="3" t="s">
        <v>50</v>
      </c>
      <c r="H101" s="4" t="n">
        <v>46204</v>
      </c>
      <c r="I101" s="5" t="n">
        <v>46232</v>
      </c>
      <c r="J101" s="4" t="n">
        <v>46255</v>
      </c>
      <c r="K101" s="4" t="n">
        <v>46255</v>
      </c>
      <c r="L101" s="3"/>
      <c r="M101" s="3"/>
      <c r="N101" s="3"/>
      <c r="O101" s="3" t="s">
        <v>67</v>
      </c>
      <c r="P101" s="6" t="s">
        <v>60</v>
      </c>
      <c r="Q101" s="3"/>
      <c r="R101" s="3"/>
      <c r="S101" s="3"/>
      <c r="T101" s="3"/>
      <c r="U101" s="6" t="s">
        <v>68</v>
      </c>
      <c r="V101" s="3"/>
      <c r="W101" s="3"/>
      <c r="X101" s="3"/>
      <c r="Y101" s="3"/>
      <c r="Z101" s="3"/>
      <c r="AA101" s="3"/>
      <c r="AB101" s="3" t="n">
        <v>51</v>
      </c>
      <c r="AC101" s="3" t="n">
        <v>0</v>
      </c>
      <c r="AD101" s="6" t="s">
        <v>43</v>
      </c>
      <c r="AE101" s="3" t="s">
        <v>72</v>
      </c>
      <c r="AF101" s="6" t="s">
        <v>43</v>
      </c>
      <c r="AG101" s="6" t="s">
        <v>43</v>
      </c>
      <c r="AH101" s="6" t="s">
        <v>43</v>
      </c>
      <c r="AI101" s="3"/>
      <c r="AJ101" s="3"/>
      <c r="AK101" s="3"/>
      <c r="AL101" s="7" t="n">
        <f aca="false">IF(A101="","",IF(COUNTIF(A101:A$2001,A101)=1,1,0))</f>
        <v>1</v>
      </c>
      <c r="AM101" s="7" t="n">
        <f aca="true">IF(I101="","",TODAY()-I101)</f>
        <v>58</v>
      </c>
      <c r="AN101" s="7" t="n">
        <f aca="false">IF(A101="","",IF(AND(E101&lt;&gt;"33 確認済",E101&lt;&gt;"36 送付中"),1,0))</f>
        <v>1</v>
      </c>
      <c r="AO101" s="7" t="n">
        <f aca="false">IF(A101="","",IF(AG101&lt;&gt;"",1,0))</f>
        <v>1</v>
      </c>
    </row>
    <row r="102" customFormat="false" ht="15" hidden="false" customHeight="false" outlineLevel="0" collapsed="false">
      <c r="A102" s="3" t="n">
        <v>202660001070</v>
      </c>
      <c r="B102" s="3"/>
      <c r="C102" s="3"/>
      <c r="D102" s="3" t="n">
        <v>32</v>
      </c>
      <c r="E102" s="3" t="s">
        <v>74</v>
      </c>
      <c r="F102" s="3" t="n">
        <v>20</v>
      </c>
      <c r="G102" s="3" t="s">
        <v>50</v>
      </c>
      <c r="H102" s="4" t="n">
        <v>46186</v>
      </c>
      <c r="I102" s="5" t="n">
        <v>46231</v>
      </c>
      <c r="J102" s="4" t="n">
        <v>46233</v>
      </c>
      <c r="K102" s="4" t="n">
        <v>46233</v>
      </c>
      <c r="L102" s="3"/>
      <c r="M102" s="3"/>
      <c r="N102" s="3"/>
      <c r="O102" s="3" t="s">
        <v>70</v>
      </c>
      <c r="P102" s="6" t="s">
        <v>60</v>
      </c>
      <c r="Q102" s="3"/>
      <c r="R102" s="3"/>
      <c r="S102" s="3"/>
      <c r="T102" s="3"/>
      <c r="U102" s="6" t="s">
        <v>68</v>
      </c>
      <c r="V102" s="3"/>
      <c r="W102" s="3"/>
      <c r="X102" s="3"/>
      <c r="Y102" s="3"/>
      <c r="Z102" s="3"/>
      <c r="AA102" s="3"/>
      <c r="AB102" s="3" t="n">
        <v>31</v>
      </c>
      <c r="AC102" s="3" t="n">
        <v>1</v>
      </c>
      <c r="AD102" s="6" t="s">
        <v>46</v>
      </c>
      <c r="AE102" s="3" t="s">
        <v>92</v>
      </c>
      <c r="AF102" s="6" t="s">
        <v>46</v>
      </c>
      <c r="AG102" s="6" t="s">
        <v>46</v>
      </c>
      <c r="AH102" s="6" t="s">
        <v>46</v>
      </c>
      <c r="AI102" s="3"/>
      <c r="AJ102" s="3"/>
      <c r="AK102" s="3"/>
      <c r="AL102" s="7" t="n">
        <f aca="false">IF(A102="","",IF(COUNTIF(A102:A$2001,A102)=1,1,0))</f>
        <v>1</v>
      </c>
      <c r="AM102" s="7" t="n">
        <f aca="true">IF(I102="","",TODAY()-I102)</f>
        <v>59</v>
      </c>
      <c r="AN102" s="7" t="n">
        <f aca="false">IF(A102="","",IF(AND(E102&lt;&gt;"33 確認済",E102&lt;&gt;"36 送付中"),1,0))</f>
        <v>1</v>
      </c>
      <c r="AO102" s="7" t="n">
        <f aca="false">IF(A102="","",IF(AG102&lt;&gt;"",1,0))</f>
        <v>1</v>
      </c>
    </row>
    <row r="103" customFormat="false" ht="15" hidden="false" customHeight="false" outlineLevel="0" collapsed="false">
      <c r="A103" s="3" t="n">
        <v>202660001080</v>
      </c>
      <c r="B103" s="3"/>
      <c r="C103" s="3"/>
      <c r="D103" s="3" t="n">
        <v>20</v>
      </c>
      <c r="E103" s="3" t="s">
        <v>69</v>
      </c>
      <c r="F103" s="3" t="n">
        <v>20</v>
      </c>
      <c r="G103" s="3" t="s">
        <v>50</v>
      </c>
      <c r="H103" s="4" t="n">
        <v>46204</v>
      </c>
      <c r="I103" s="5" t="n">
        <v>46232</v>
      </c>
      <c r="J103" s="4" t="n">
        <v>46253</v>
      </c>
      <c r="K103" s="4" t="n">
        <v>46253</v>
      </c>
      <c r="L103" s="3"/>
      <c r="M103" s="3"/>
      <c r="N103" s="3"/>
      <c r="O103" s="3" t="s">
        <v>86</v>
      </c>
      <c r="P103" s="6" t="s">
        <v>60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 t="n">
        <v>22</v>
      </c>
      <c r="AC103" s="3" t="n">
        <v>1</v>
      </c>
      <c r="AD103" s="6" t="s">
        <v>46</v>
      </c>
      <c r="AE103" s="3" t="s">
        <v>47</v>
      </c>
      <c r="AF103" s="6" t="s">
        <v>46</v>
      </c>
      <c r="AG103" s="6" t="s">
        <v>46</v>
      </c>
      <c r="AH103" s="3"/>
      <c r="AI103" s="3"/>
      <c r="AJ103" s="3"/>
      <c r="AK103" s="3"/>
      <c r="AL103" s="7" t="n">
        <f aca="false">IF(A103="","",IF(COUNTIF(A103:A$2001,A103)=1,1,0))</f>
        <v>1</v>
      </c>
      <c r="AM103" s="7" t="n">
        <f aca="true">IF(I103="","",TODAY()-I103)</f>
        <v>58</v>
      </c>
      <c r="AN103" s="7" t="n">
        <f aca="false">IF(A103="","",IF(AND(E103&lt;&gt;"33 確認済",E103&lt;&gt;"36 送付中"),1,0))</f>
        <v>1</v>
      </c>
      <c r="AO103" s="7" t="n">
        <f aca="false">IF(A103="","",IF(AG103&lt;&gt;"",1,0))</f>
        <v>1</v>
      </c>
    </row>
    <row r="104" customFormat="false" ht="15" hidden="false" customHeight="false" outlineLevel="0" collapsed="false">
      <c r="A104" s="3" t="n">
        <v>202660001083</v>
      </c>
      <c r="B104" s="3"/>
      <c r="C104" s="3"/>
      <c r="D104" s="3" t="n">
        <v>31</v>
      </c>
      <c r="E104" s="3" t="s">
        <v>41</v>
      </c>
      <c r="F104" s="3" t="n">
        <v>20</v>
      </c>
      <c r="G104" s="3" t="s">
        <v>50</v>
      </c>
      <c r="H104" s="4" t="n">
        <v>46232</v>
      </c>
      <c r="I104" s="5" t="n">
        <v>46232</v>
      </c>
      <c r="J104" s="4" t="n">
        <v>46289</v>
      </c>
      <c r="K104" s="4" t="n">
        <v>46289</v>
      </c>
      <c r="L104" s="3"/>
      <c r="M104" s="3"/>
      <c r="N104" s="3"/>
      <c r="O104" s="3" t="s">
        <v>56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 t="n">
        <v>26</v>
      </c>
      <c r="AC104" s="3" t="n">
        <v>1</v>
      </c>
      <c r="AD104" s="6" t="s">
        <v>46</v>
      </c>
      <c r="AE104" s="3" t="s">
        <v>57</v>
      </c>
      <c r="AF104" s="6" t="s">
        <v>46</v>
      </c>
      <c r="AG104" s="6" t="s">
        <v>46</v>
      </c>
      <c r="AH104" s="6" t="s">
        <v>46</v>
      </c>
      <c r="AI104" s="3"/>
      <c r="AJ104" s="3"/>
      <c r="AK104" s="3"/>
      <c r="AL104" s="7" t="n">
        <f aca="false">IF(A104="","",IF(COUNTIF(A104:A$2001,A104)=1,1,0))</f>
        <v>1</v>
      </c>
      <c r="AM104" s="7" t="n">
        <f aca="true">IF(I104="","",TODAY()-I104)</f>
        <v>58</v>
      </c>
      <c r="AN104" s="7" t="n">
        <f aca="false">IF(A104="","",IF(AND(E104&lt;&gt;"33 確認済",E104&lt;&gt;"36 送付中"),1,0))</f>
        <v>1</v>
      </c>
      <c r="AO104" s="7" t="n">
        <f aca="false">IF(A104="","",IF(AG104&lt;&gt;"",1,0))</f>
        <v>1</v>
      </c>
    </row>
    <row r="105" customFormat="false" ht="15" hidden="false" customHeight="false" outlineLevel="0" collapsed="false">
      <c r="A105" s="3" t="n">
        <v>202660001086</v>
      </c>
      <c r="B105" s="3"/>
      <c r="C105" s="3"/>
      <c r="D105" s="3" t="n">
        <v>40</v>
      </c>
      <c r="E105" s="3" t="s">
        <v>49</v>
      </c>
      <c r="F105" s="3" t="n">
        <v>20</v>
      </c>
      <c r="G105" s="3" t="s">
        <v>50</v>
      </c>
      <c r="H105" s="4" t="n">
        <v>46108</v>
      </c>
      <c r="I105" s="5" t="n">
        <v>46235</v>
      </c>
      <c r="J105" s="4" t="n">
        <v>46238</v>
      </c>
      <c r="K105" s="4" t="n">
        <v>46241</v>
      </c>
      <c r="L105" s="3"/>
      <c r="M105" s="3"/>
      <c r="N105" s="3"/>
      <c r="O105" s="3" t="s">
        <v>62</v>
      </c>
      <c r="P105" s="3"/>
      <c r="Q105" s="3"/>
      <c r="R105" s="3"/>
      <c r="S105" s="3"/>
      <c r="T105" s="3"/>
      <c r="U105" s="3"/>
      <c r="V105" s="3"/>
      <c r="W105" s="6" t="s">
        <v>63</v>
      </c>
      <c r="X105" s="3"/>
      <c r="Y105" s="3"/>
      <c r="Z105" s="3"/>
      <c r="AA105" s="3"/>
      <c r="AB105" s="3" t="n">
        <v>51</v>
      </c>
      <c r="AC105" s="3" t="n">
        <v>0</v>
      </c>
      <c r="AD105" s="6" t="s">
        <v>43</v>
      </c>
      <c r="AE105" s="3" t="s">
        <v>72</v>
      </c>
      <c r="AF105" s="6" t="s">
        <v>43</v>
      </c>
      <c r="AG105" s="6" t="s">
        <v>43</v>
      </c>
      <c r="AH105" s="6" t="s">
        <v>43</v>
      </c>
      <c r="AI105" s="3"/>
      <c r="AJ105" s="3"/>
      <c r="AK105" s="3"/>
      <c r="AL105" s="7" t="n">
        <f aca="false">IF(A105="","",IF(COUNTIF(A105:A$2001,A105)=1,1,0))</f>
        <v>1</v>
      </c>
      <c r="AM105" s="7" t="n">
        <f aca="true">IF(I105="","",TODAY()-I105)</f>
        <v>55</v>
      </c>
      <c r="AN105" s="7" t="n">
        <f aca="false">IF(A105="","",IF(AND(E105&lt;&gt;"33 確認済",E105&lt;&gt;"36 送付中"),1,0))</f>
        <v>1</v>
      </c>
      <c r="AO105" s="7" t="n">
        <f aca="false">IF(A105="","",IF(AG105&lt;&gt;"",1,0))</f>
        <v>1</v>
      </c>
    </row>
    <row r="106" customFormat="false" ht="15" hidden="false" customHeight="false" outlineLevel="0" collapsed="false">
      <c r="A106" s="3" t="n">
        <v>202660001090</v>
      </c>
      <c r="B106" s="3"/>
      <c r="C106" s="3"/>
      <c r="D106" s="3" t="n">
        <v>20</v>
      </c>
      <c r="E106" s="3" t="s">
        <v>69</v>
      </c>
      <c r="F106" s="3" t="n">
        <v>20</v>
      </c>
      <c r="G106" s="3" t="s">
        <v>50</v>
      </c>
      <c r="H106" s="4" t="n">
        <v>46228</v>
      </c>
      <c r="I106" s="5" t="n">
        <v>46234</v>
      </c>
      <c r="J106" s="4" t="n">
        <v>46267</v>
      </c>
      <c r="K106" s="4" t="n">
        <v>46267</v>
      </c>
      <c r="L106" s="3"/>
      <c r="M106" s="3"/>
      <c r="N106" s="3"/>
      <c r="O106" s="3" t="s">
        <v>86</v>
      </c>
      <c r="P106" s="6" t="s">
        <v>60</v>
      </c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 t="n">
        <v>22</v>
      </c>
      <c r="AC106" s="3" t="n">
        <v>1</v>
      </c>
      <c r="AD106" s="6" t="s">
        <v>46</v>
      </c>
      <c r="AE106" s="3" t="s">
        <v>47</v>
      </c>
      <c r="AF106" s="6" t="s">
        <v>46</v>
      </c>
      <c r="AG106" s="6" t="s">
        <v>46</v>
      </c>
      <c r="AH106" s="3"/>
      <c r="AI106" s="3"/>
      <c r="AJ106" s="3"/>
      <c r="AK106" s="3"/>
      <c r="AL106" s="7" t="n">
        <f aca="false">IF(A106="","",IF(COUNTIF(A106:A$2001,A106)=1,1,0))</f>
        <v>1</v>
      </c>
      <c r="AM106" s="7" t="n">
        <f aca="true">IF(I106="","",TODAY()-I106)</f>
        <v>56</v>
      </c>
      <c r="AN106" s="7" t="n">
        <f aca="false">IF(A106="","",IF(AND(E106&lt;&gt;"33 確認済",E106&lt;&gt;"36 送付中"),1,0))</f>
        <v>1</v>
      </c>
      <c r="AO106" s="7" t="n">
        <f aca="false">IF(A106="","",IF(AG106&lt;&gt;"",1,0))</f>
        <v>1</v>
      </c>
    </row>
    <row r="107" customFormat="false" ht="15" hidden="false" customHeight="false" outlineLevel="0" collapsed="false">
      <c r="A107" s="3" t="n">
        <v>202660001097</v>
      </c>
      <c r="B107" s="3"/>
      <c r="C107" s="3"/>
      <c r="D107" s="3" t="n">
        <v>33</v>
      </c>
      <c r="E107" s="3" t="s">
        <v>89</v>
      </c>
      <c r="F107" s="3" t="n">
        <v>20</v>
      </c>
      <c r="G107" s="3" t="s">
        <v>50</v>
      </c>
      <c r="H107" s="4" t="n">
        <v>46205</v>
      </c>
      <c r="I107" s="5" t="n">
        <v>46234</v>
      </c>
      <c r="J107" s="4" t="n">
        <v>46280</v>
      </c>
      <c r="K107" s="4" t="n">
        <v>46280</v>
      </c>
      <c r="L107" s="3"/>
      <c r="M107" s="3"/>
      <c r="N107" s="3"/>
      <c r="O107" s="3" t="s">
        <v>51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 t="n">
        <v>47</v>
      </c>
      <c r="AC107" s="3" t="n">
        <v>0</v>
      </c>
      <c r="AD107" s="6" t="s">
        <v>43</v>
      </c>
      <c r="AE107" s="3" t="s">
        <v>44</v>
      </c>
      <c r="AF107" s="6" t="s">
        <v>43</v>
      </c>
      <c r="AG107" s="6" t="s">
        <v>43</v>
      </c>
      <c r="AH107" s="3"/>
      <c r="AI107" s="3"/>
      <c r="AJ107" s="3"/>
      <c r="AK107" s="3"/>
      <c r="AL107" s="7" t="n">
        <f aca="false">IF(A107="","",IF(COUNTIF(A107:A$2001,A107)=1,1,0))</f>
        <v>1</v>
      </c>
      <c r="AM107" s="7" t="n">
        <f aca="true">IF(I107="","",TODAY()-I107)</f>
        <v>56</v>
      </c>
      <c r="AN107" s="7" t="n">
        <f aca="false">IF(A107="","",IF(AND(E107&lt;&gt;"33 確認済",E107&lt;&gt;"36 送付中"),1,0))</f>
        <v>0</v>
      </c>
      <c r="AO107" s="7" t="n">
        <f aca="false">IF(A107="","",IF(AG107&lt;&gt;"",1,0))</f>
        <v>1</v>
      </c>
    </row>
    <row r="108" customFormat="false" ht="15" hidden="false" customHeight="false" outlineLevel="0" collapsed="false">
      <c r="A108" s="3" t="n">
        <v>202660001108</v>
      </c>
      <c r="B108" s="3"/>
      <c r="C108" s="3"/>
      <c r="D108" s="3" t="n">
        <v>32</v>
      </c>
      <c r="E108" s="3" t="s">
        <v>74</v>
      </c>
      <c r="F108" s="3"/>
      <c r="G108" s="3"/>
      <c r="H108" s="4" t="n">
        <v>46204</v>
      </c>
      <c r="I108" s="5" t="n">
        <v>46261</v>
      </c>
      <c r="J108" s="4" t="n">
        <v>46265</v>
      </c>
      <c r="K108" s="4" t="n">
        <v>46279</v>
      </c>
      <c r="L108" s="3"/>
      <c r="M108" s="3"/>
      <c r="N108" s="3"/>
      <c r="O108" s="3" t="s">
        <v>75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 t="n">
        <v>47</v>
      </c>
      <c r="AC108" s="3" t="n">
        <v>0</v>
      </c>
      <c r="AD108" s="6" t="s">
        <v>43</v>
      </c>
      <c r="AE108" s="3" t="s">
        <v>44</v>
      </c>
      <c r="AF108" s="3"/>
      <c r="AG108" s="3"/>
      <c r="AH108" s="6" t="s">
        <v>43</v>
      </c>
      <c r="AI108" s="3"/>
      <c r="AJ108" s="3"/>
      <c r="AK108" s="3"/>
      <c r="AL108" s="7" t="n">
        <f aca="false">IF(A108="","",IF(COUNTIF(A108:A$2001,A108)=1,1,0))</f>
        <v>1</v>
      </c>
      <c r="AM108" s="7" t="n">
        <f aca="true">IF(I108="","",TODAY()-I108)</f>
        <v>29</v>
      </c>
      <c r="AN108" s="7" t="n">
        <f aca="false">IF(A108="","",IF(AND(E108&lt;&gt;"33 確認済",E108&lt;&gt;"36 送付中"),1,0))</f>
        <v>1</v>
      </c>
      <c r="AO108" s="7" t="n">
        <f aca="false">IF(A108="","",IF(AG108&lt;&gt;"",1,0))</f>
        <v>0</v>
      </c>
    </row>
    <row r="109" customFormat="false" ht="15" hidden="false" customHeight="false" outlineLevel="0" collapsed="false">
      <c r="A109" s="3" t="n">
        <v>202660001115</v>
      </c>
      <c r="B109" s="3"/>
      <c r="C109" s="3"/>
      <c r="D109" s="3" t="n">
        <v>32</v>
      </c>
      <c r="E109" s="3" t="s">
        <v>74</v>
      </c>
      <c r="F109" s="3" t="n">
        <v>20</v>
      </c>
      <c r="G109" s="3" t="s">
        <v>50</v>
      </c>
      <c r="H109" s="4" t="n">
        <v>46226</v>
      </c>
      <c r="I109" s="5" t="n">
        <v>46230</v>
      </c>
      <c r="J109" s="4" t="n">
        <v>46279</v>
      </c>
      <c r="K109" s="4" t="n">
        <v>46279</v>
      </c>
      <c r="L109" s="3"/>
      <c r="M109" s="3"/>
      <c r="N109" s="3"/>
      <c r="O109" s="3" t="s">
        <v>75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 t="n">
        <v>21</v>
      </c>
      <c r="AC109" s="3" t="n">
        <v>1</v>
      </c>
      <c r="AD109" s="6" t="s">
        <v>46</v>
      </c>
      <c r="AE109" s="3" t="s">
        <v>55</v>
      </c>
      <c r="AF109" s="6" t="s">
        <v>46</v>
      </c>
      <c r="AG109" s="3"/>
      <c r="AH109" s="3"/>
      <c r="AI109" s="3"/>
      <c r="AJ109" s="3"/>
      <c r="AK109" s="3"/>
      <c r="AL109" s="7" t="n">
        <f aca="false">IF(A109="","",IF(COUNTIF(A109:A$2001,A109)=1,1,0))</f>
        <v>1</v>
      </c>
      <c r="AM109" s="7" t="n">
        <f aca="true">IF(I109="","",TODAY()-I109)</f>
        <v>60</v>
      </c>
      <c r="AN109" s="7" t="n">
        <f aca="false">IF(A109="","",IF(AND(E109&lt;&gt;"33 確認済",E109&lt;&gt;"36 送付中"),1,0))</f>
        <v>1</v>
      </c>
      <c r="AO109" s="7" t="n">
        <f aca="false">IF(A109="","",IF(AG109&lt;&gt;"",1,0))</f>
        <v>0</v>
      </c>
    </row>
    <row r="110" customFormat="false" ht="15" hidden="false" customHeight="false" outlineLevel="0" collapsed="false">
      <c r="A110" s="3" t="n">
        <v>202660001121</v>
      </c>
      <c r="B110" s="3"/>
      <c r="C110" s="3"/>
      <c r="D110" s="3" t="n">
        <v>30</v>
      </c>
      <c r="E110" s="3" t="s">
        <v>93</v>
      </c>
      <c r="F110" s="3"/>
      <c r="G110" s="3"/>
      <c r="H110" s="4" t="n">
        <v>45830</v>
      </c>
      <c r="I110" s="5" t="n">
        <v>46238</v>
      </c>
      <c r="J110" s="4" t="n">
        <v>46240</v>
      </c>
      <c r="K110" s="3"/>
      <c r="L110" s="3"/>
      <c r="M110" s="3"/>
      <c r="N110" s="3"/>
      <c r="O110" s="3" t="s">
        <v>94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 t="n">
        <v>55</v>
      </c>
      <c r="AC110" s="3" t="n">
        <v>0</v>
      </c>
      <c r="AD110" s="6" t="s">
        <v>43</v>
      </c>
      <c r="AE110" s="3" t="s">
        <v>95</v>
      </c>
      <c r="AF110" s="6" t="s">
        <v>43</v>
      </c>
      <c r="AG110" s="6" t="s">
        <v>43</v>
      </c>
      <c r="AH110" s="6" t="s">
        <v>43</v>
      </c>
      <c r="AI110" s="3"/>
      <c r="AJ110" s="3"/>
      <c r="AK110" s="3"/>
      <c r="AL110" s="7" t="n">
        <f aca="false">IF(A110="","",IF(COUNTIF(A110:A$2001,A110)=1,1,0))</f>
        <v>1</v>
      </c>
      <c r="AM110" s="7" t="n">
        <f aca="true">IF(I110="","",TODAY()-I110)</f>
        <v>52</v>
      </c>
      <c r="AN110" s="7" t="n">
        <f aca="false">IF(A110="","",IF(AND(E110&lt;&gt;"33 確認済",E110&lt;&gt;"36 送付中"),1,0))</f>
        <v>1</v>
      </c>
      <c r="AO110" s="7" t="n">
        <f aca="false">IF(A110="","",IF(AG110&lt;&gt;"",1,0))</f>
        <v>1</v>
      </c>
    </row>
    <row r="111" customFormat="false" ht="15" hidden="false" customHeight="false" outlineLevel="0" collapsed="false">
      <c r="A111" s="3" t="n">
        <v>202660001125</v>
      </c>
      <c r="B111" s="3"/>
      <c r="C111" s="3"/>
      <c r="D111" s="3" t="n">
        <v>32</v>
      </c>
      <c r="E111" s="3" t="s">
        <v>74</v>
      </c>
      <c r="F111" s="3"/>
      <c r="G111" s="3"/>
      <c r="H111" s="4" t="n">
        <v>45566</v>
      </c>
      <c r="I111" s="5" t="n">
        <v>46238</v>
      </c>
      <c r="J111" s="4" t="n">
        <v>46240</v>
      </c>
      <c r="K111" s="4" t="n">
        <v>46241</v>
      </c>
      <c r="L111" s="3"/>
      <c r="M111" s="3"/>
      <c r="N111" s="3"/>
      <c r="O111" s="3" t="s">
        <v>82</v>
      </c>
      <c r="P111" s="3"/>
      <c r="Q111" s="3"/>
      <c r="R111" s="3"/>
      <c r="S111" s="3"/>
      <c r="T111" s="3"/>
      <c r="U111" s="3"/>
      <c r="V111" s="3"/>
      <c r="W111" s="6" t="s">
        <v>63</v>
      </c>
      <c r="X111" s="3"/>
      <c r="Y111" s="3"/>
      <c r="Z111" s="3"/>
      <c r="AA111" s="3"/>
      <c r="AB111" s="3" t="n">
        <v>51</v>
      </c>
      <c r="AC111" s="3" t="n">
        <v>0</v>
      </c>
      <c r="AD111" s="6" t="s">
        <v>43</v>
      </c>
      <c r="AE111" s="3" t="s">
        <v>72</v>
      </c>
      <c r="AF111" s="3"/>
      <c r="AG111" s="6" t="s">
        <v>43</v>
      </c>
      <c r="AH111" s="3"/>
      <c r="AI111" s="3"/>
      <c r="AJ111" s="3"/>
      <c r="AK111" s="3"/>
      <c r="AL111" s="7" t="n">
        <f aca="false">IF(A111="","",IF(COUNTIF(A111:A$2001,A111)=1,1,0))</f>
        <v>1</v>
      </c>
      <c r="AM111" s="7" t="n">
        <f aca="true">IF(I111="","",TODAY()-I111)</f>
        <v>52</v>
      </c>
      <c r="AN111" s="7" t="n">
        <f aca="false">IF(A111="","",IF(AND(E111&lt;&gt;"33 確認済",E111&lt;&gt;"36 送付中"),1,0))</f>
        <v>1</v>
      </c>
      <c r="AO111" s="7" t="n">
        <f aca="false">IF(A111="","",IF(AG111&lt;&gt;"",1,0))</f>
        <v>1</v>
      </c>
    </row>
    <row r="112" customFormat="false" ht="15" hidden="false" customHeight="false" outlineLevel="0" collapsed="false">
      <c r="A112" s="3" t="n">
        <v>202660001131</v>
      </c>
      <c r="B112" s="3"/>
      <c r="C112" s="3"/>
      <c r="D112" s="3" t="n">
        <v>31</v>
      </c>
      <c r="E112" s="3" t="s">
        <v>41</v>
      </c>
      <c r="F112" s="3"/>
      <c r="G112" s="3"/>
      <c r="H112" s="4" t="n">
        <v>46221</v>
      </c>
      <c r="I112" s="5" t="n">
        <v>46239</v>
      </c>
      <c r="J112" s="4" t="n">
        <v>46240</v>
      </c>
      <c r="K112" s="4" t="n">
        <v>46241</v>
      </c>
      <c r="L112" s="3"/>
      <c r="M112" s="3"/>
      <c r="N112" s="3"/>
      <c r="O112" s="3" t="s">
        <v>56</v>
      </c>
      <c r="P112" s="3"/>
      <c r="Q112" s="3"/>
      <c r="R112" s="3"/>
      <c r="S112" s="6" t="s">
        <v>58</v>
      </c>
      <c r="T112" s="3"/>
      <c r="U112" s="3"/>
      <c r="V112" s="3"/>
      <c r="W112" s="3"/>
      <c r="X112" s="3"/>
      <c r="Y112" s="3"/>
      <c r="Z112" s="3"/>
      <c r="AA112" s="3"/>
      <c r="AB112" s="3" t="n">
        <v>22</v>
      </c>
      <c r="AC112" s="3" t="n">
        <v>1</v>
      </c>
      <c r="AD112" s="6" t="s">
        <v>46</v>
      </c>
      <c r="AE112" s="3" t="s">
        <v>47</v>
      </c>
      <c r="AF112" s="6" t="s">
        <v>46</v>
      </c>
      <c r="AG112" s="6" t="s">
        <v>46</v>
      </c>
      <c r="AH112" s="6" t="s">
        <v>46</v>
      </c>
      <c r="AI112" s="3"/>
      <c r="AJ112" s="3"/>
      <c r="AK112" s="3"/>
      <c r="AL112" s="7" t="n">
        <f aca="false">IF(A112="","",IF(COUNTIF(A112:A$2001,A112)=1,1,0))</f>
        <v>1</v>
      </c>
      <c r="AM112" s="7" t="n">
        <f aca="true">IF(I112="","",TODAY()-I112)</f>
        <v>51</v>
      </c>
      <c r="AN112" s="7" t="n">
        <f aca="false">IF(A112="","",IF(AND(E112&lt;&gt;"33 確認済",E112&lt;&gt;"36 送付中"),1,0))</f>
        <v>1</v>
      </c>
      <c r="AO112" s="7" t="n">
        <f aca="false">IF(A112="","",IF(AG112&lt;&gt;"",1,0))</f>
        <v>1</v>
      </c>
    </row>
    <row r="113" customFormat="false" ht="15" hidden="false" customHeight="false" outlineLevel="0" collapsed="false">
      <c r="A113" s="3" t="n">
        <v>202660001142</v>
      </c>
      <c r="B113" s="3"/>
      <c r="C113" s="3"/>
      <c r="D113" s="3" t="n">
        <v>33</v>
      </c>
      <c r="E113" s="3" t="s">
        <v>89</v>
      </c>
      <c r="F113" s="3" t="n">
        <v>20</v>
      </c>
      <c r="G113" s="3" t="s">
        <v>50</v>
      </c>
      <c r="H113" s="4" t="n">
        <v>46234</v>
      </c>
      <c r="I113" s="5" t="n">
        <v>46241</v>
      </c>
      <c r="J113" s="4" t="n">
        <v>46281</v>
      </c>
      <c r="K113" s="4" t="n">
        <v>46281</v>
      </c>
      <c r="L113" s="3"/>
      <c r="M113" s="3"/>
      <c r="N113" s="3"/>
      <c r="O113" s="3" t="s">
        <v>51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 t="n">
        <v>21</v>
      </c>
      <c r="AC113" s="3" t="n">
        <v>1</v>
      </c>
      <c r="AD113" s="6" t="s">
        <v>46</v>
      </c>
      <c r="AE113" s="3" t="s">
        <v>55</v>
      </c>
      <c r="AF113" s="6" t="s">
        <v>46</v>
      </c>
      <c r="AG113" s="6" t="s">
        <v>46</v>
      </c>
      <c r="AH113" s="6" t="s">
        <v>46</v>
      </c>
      <c r="AI113" s="3"/>
      <c r="AJ113" s="3"/>
      <c r="AK113" s="3"/>
      <c r="AL113" s="7" t="n">
        <f aca="false">IF(A113="","",IF(COUNTIF(A113:A$2001,A113)=1,1,0))</f>
        <v>1</v>
      </c>
      <c r="AM113" s="7" t="n">
        <f aca="true">IF(I113="","",TODAY()-I113)</f>
        <v>49</v>
      </c>
      <c r="AN113" s="7" t="n">
        <f aca="false">IF(A113="","",IF(AND(E113&lt;&gt;"33 確認済",E113&lt;&gt;"36 送付中"),1,0))</f>
        <v>0</v>
      </c>
      <c r="AO113" s="7" t="n">
        <f aca="false">IF(A113="","",IF(AG113&lt;&gt;"",1,0))</f>
        <v>1</v>
      </c>
    </row>
    <row r="114" customFormat="false" ht="15" hidden="false" customHeight="false" outlineLevel="0" collapsed="false">
      <c r="A114" s="3" t="n">
        <v>202660001144</v>
      </c>
      <c r="B114" s="3"/>
      <c r="C114" s="3"/>
      <c r="D114" s="3" t="n">
        <v>33</v>
      </c>
      <c r="E114" s="3" t="s">
        <v>89</v>
      </c>
      <c r="F114" s="3" t="n">
        <v>20</v>
      </c>
      <c r="G114" s="3" t="s">
        <v>50</v>
      </c>
      <c r="H114" s="4" t="n">
        <v>46237</v>
      </c>
      <c r="I114" s="5" t="n">
        <v>46251</v>
      </c>
      <c r="J114" s="4" t="n">
        <v>46280</v>
      </c>
      <c r="K114" s="4" t="n">
        <v>46280</v>
      </c>
      <c r="L114" s="3"/>
      <c r="M114" s="3"/>
      <c r="N114" s="3"/>
      <c r="O114" s="3" t="s">
        <v>51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 t="n">
        <v>21</v>
      </c>
      <c r="AC114" s="3" t="n">
        <v>1</v>
      </c>
      <c r="AD114" s="6" t="s">
        <v>46</v>
      </c>
      <c r="AE114" s="3" t="s">
        <v>55</v>
      </c>
      <c r="AF114" s="6" t="s">
        <v>46</v>
      </c>
      <c r="AG114" s="6" t="s">
        <v>46</v>
      </c>
      <c r="AH114" s="6" t="s">
        <v>46</v>
      </c>
      <c r="AI114" s="3"/>
      <c r="AJ114" s="3"/>
      <c r="AK114" s="3"/>
      <c r="AL114" s="7" t="n">
        <f aca="false">IF(A114="","",IF(COUNTIF(A114:A$2001,A114)=1,1,0))</f>
        <v>1</v>
      </c>
      <c r="AM114" s="7" t="n">
        <f aca="true">IF(I114="","",TODAY()-I114)</f>
        <v>39</v>
      </c>
      <c r="AN114" s="7" t="n">
        <f aca="false">IF(A114="","",IF(AND(E114&lt;&gt;"33 確認済",E114&lt;&gt;"36 送付中"),1,0))</f>
        <v>0</v>
      </c>
      <c r="AO114" s="7" t="n">
        <f aca="false">IF(A114="","",IF(AG114&lt;&gt;"",1,0))</f>
        <v>1</v>
      </c>
    </row>
    <row r="115" customFormat="false" ht="15" hidden="false" customHeight="false" outlineLevel="0" collapsed="false">
      <c r="A115" s="3" t="n">
        <v>202660001153</v>
      </c>
      <c r="B115" s="3"/>
      <c r="C115" s="3"/>
      <c r="D115" s="3" t="n">
        <v>20</v>
      </c>
      <c r="E115" s="3" t="s">
        <v>69</v>
      </c>
      <c r="F115" s="3"/>
      <c r="G115" s="3"/>
      <c r="H115" s="4" t="n">
        <v>46229</v>
      </c>
      <c r="I115" s="5" t="n">
        <v>46237</v>
      </c>
      <c r="J115" s="3"/>
      <c r="K115" s="3"/>
      <c r="L115" s="3"/>
      <c r="M115" s="3"/>
      <c r="N115" s="3"/>
      <c r="O115" s="3" t="s">
        <v>67</v>
      </c>
      <c r="P115" s="6" t="s">
        <v>60</v>
      </c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 t="n">
        <v>21</v>
      </c>
      <c r="AC115" s="3" t="n">
        <v>1</v>
      </c>
      <c r="AD115" s="6" t="s">
        <v>46</v>
      </c>
      <c r="AE115" s="3" t="s">
        <v>55</v>
      </c>
      <c r="AF115" s="6" t="s">
        <v>46</v>
      </c>
      <c r="AG115" s="6" t="s">
        <v>46</v>
      </c>
      <c r="AH115" s="6" t="s">
        <v>46</v>
      </c>
      <c r="AI115" s="3"/>
      <c r="AJ115" s="3"/>
      <c r="AK115" s="3"/>
      <c r="AL115" s="7" t="n">
        <f aca="false">IF(A115="","",IF(COUNTIF(A115:A$2001,A115)=1,1,0))</f>
        <v>1</v>
      </c>
      <c r="AM115" s="7" t="n">
        <f aca="true">IF(I115="","",TODAY()-I115)</f>
        <v>53</v>
      </c>
      <c r="AN115" s="7" t="n">
        <f aca="false">IF(A115="","",IF(AND(E115&lt;&gt;"33 確認済",E115&lt;&gt;"36 送付中"),1,0))</f>
        <v>1</v>
      </c>
      <c r="AO115" s="7" t="n">
        <f aca="false">IF(A115="","",IF(AG115&lt;&gt;"",1,0))</f>
        <v>1</v>
      </c>
    </row>
    <row r="116" customFormat="false" ht="15" hidden="false" customHeight="false" outlineLevel="0" collapsed="false">
      <c r="A116" s="3" t="n">
        <v>202660001157</v>
      </c>
      <c r="B116" s="3"/>
      <c r="C116" s="3"/>
      <c r="D116" s="3" t="n">
        <v>40</v>
      </c>
      <c r="E116" s="3" t="s">
        <v>49</v>
      </c>
      <c r="F116" s="3" t="n">
        <v>20</v>
      </c>
      <c r="G116" s="3" t="s">
        <v>50</v>
      </c>
      <c r="H116" s="3"/>
      <c r="I116" s="5" t="n">
        <v>46246</v>
      </c>
      <c r="J116" s="4" t="n">
        <v>46248</v>
      </c>
      <c r="K116" s="4" t="n">
        <v>46248</v>
      </c>
      <c r="L116" s="3"/>
      <c r="M116" s="3"/>
      <c r="N116" s="3"/>
      <c r="O116" s="3" t="s">
        <v>67</v>
      </c>
      <c r="P116" s="6" t="s">
        <v>60</v>
      </c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6" t="s">
        <v>43</v>
      </c>
      <c r="AE116" s="3"/>
      <c r="AF116" s="3"/>
      <c r="AG116" s="3"/>
      <c r="AH116" s="3"/>
      <c r="AI116" s="3"/>
      <c r="AJ116" s="6" t="s">
        <v>80</v>
      </c>
      <c r="AK116" s="3"/>
      <c r="AL116" s="7" t="n">
        <f aca="false">IF(A116="","",IF(COUNTIF(A116:A$2001,A116)=1,1,0))</f>
        <v>1</v>
      </c>
      <c r="AM116" s="7" t="n">
        <f aca="true">IF(I116="","",TODAY()-I116)</f>
        <v>44</v>
      </c>
      <c r="AN116" s="7" t="n">
        <f aca="false">IF(A116="","",IF(AND(E116&lt;&gt;"33 確認済",E116&lt;&gt;"36 送付中"),1,0))</f>
        <v>1</v>
      </c>
      <c r="AO116" s="7" t="n">
        <f aca="false">IF(A116="","",IF(AG116&lt;&gt;"",1,0))</f>
        <v>0</v>
      </c>
    </row>
    <row r="117" customFormat="false" ht="15" hidden="false" customHeight="false" outlineLevel="0" collapsed="false">
      <c r="A117" s="3" t="n">
        <v>202660001163</v>
      </c>
      <c r="B117" s="3"/>
      <c r="C117" s="3"/>
      <c r="D117" s="3" t="n">
        <v>32</v>
      </c>
      <c r="E117" s="3" t="s">
        <v>74</v>
      </c>
      <c r="F117" s="3"/>
      <c r="G117" s="3"/>
      <c r="H117" s="4" t="n">
        <v>46244</v>
      </c>
      <c r="I117" s="5" t="n">
        <v>46246</v>
      </c>
      <c r="J117" s="4" t="n">
        <v>46248</v>
      </c>
      <c r="K117" s="4" t="n">
        <v>46248</v>
      </c>
      <c r="L117" s="3"/>
      <c r="M117" s="3"/>
      <c r="N117" s="3"/>
      <c r="O117" s="3" t="s">
        <v>82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 t="n">
        <v>20</v>
      </c>
      <c r="AC117" s="3" t="n">
        <v>2</v>
      </c>
      <c r="AD117" s="6" t="s">
        <v>43</v>
      </c>
      <c r="AE117" s="3"/>
      <c r="AF117" s="3"/>
      <c r="AG117" s="3"/>
      <c r="AH117" s="3"/>
      <c r="AI117" s="3"/>
      <c r="AJ117" s="3"/>
      <c r="AK117" s="3"/>
      <c r="AL117" s="7" t="n">
        <f aca="false">IF(A117="","",IF(COUNTIF(A117:A$2001,A117)=1,1,0))</f>
        <v>1</v>
      </c>
      <c r="AM117" s="7" t="n">
        <f aca="true">IF(I117="","",TODAY()-I117)</f>
        <v>44</v>
      </c>
      <c r="AN117" s="7" t="n">
        <f aca="false">IF(A117="","",IF(AND(E117&lt;&gt;"33 確認済",E117&lt;&gt;"36 送付中"),1,0))</f>
        <v>1</v>
      </c>
      <c r="AO117" s="7" t="n">
        <f aca="false">IF(A117="","",IF(AG117&lt;&gt;"",1,0))</f>
        <v>0</v>
      </c>
    </row>
    <row r="118" customFormat="false" ht="15" hidden="false" customHeight="false" outlineLevel="0" collapsed="false">
      <c r="A118" s="3" t="n">
        <v>202660001164</v>
      </c>
      <c r="B118" s="3"/>
      <c r="C118" s="3"/>
      <c r="D118" s="3" t="n">
        <v>30</v>
      </c>
      <c r="E118" s="3" t="s">
        <v>93</v>
      </c>
      <c r="F118" s="3"/>
      <c r="G118" s="3"/>
      <c r="H118" s="4" t="n">
        <v>46143</v>
      </c>
      <c r="I118" s="5" t="n">
        <v>46246</v>
      </c>
      <c r="J118" s="4" t="n">
        <v>46248</v>
      </c>
      <c r="K118" s="3"/>
      <c r="L118" s="3"/>
      <c r="M118" s="3"/>
      <c r="N118" s="3"/>
      <c r="O118" s="3" t="s">
        <v>94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 t="n">
        <v>49</v>
      </c>
      <c r="AC118" s="3" t="n">
        <v>0</v>
      </c>
      <c r="AD118" s="6" t="s">
        <v>43</v>
      </c>
      <c r="AE118" s="3" t="s">
        <v>83</v>
      </c>
      <c r="AF118" s="3"/>
      <c r="AG118" s="3"/>
      <c r="AH118" s="6" t="s">
        <v>43</v>
      </c>
      <c r="AI118" s="3"/>
      <c r="AJ118" s="3"/>
      <c r="AK118" s="3"/>
      <c r="AL118" s="7" t="n">
        <f aca="false">IF(A118="","",IF(COUNTIF(A118:A$2001,A118)=1,1,0))</f>
        <v>1</v>
      </c>
      <c r="AM118" s="7" t="n">
        <f aca="true">IF(I118="","",TODAY()-I118)</f>
        <v>44</v>
      </c>
      <c r="AN118" s="7" t="n">
        <f aca="false">IF(A118="","",IF(AND(E118&lt;&gt;"33 確認済",E118&lt;&gt;"36 送付中"),1,0))</f>
        <v>1</v>
      </c>
      <c r="AO118" s="7" t="n">
        <f aca="false">IF(A118="","",IF(AG118&lt;&gt;"",1,0))</f>
        <v>0</v>
      </c>
    </row>
    <row r="119" customFormat="false" ht="15" hidden="false" customHeight="false" outlineLevel="0" collapsed="false">
      <c r="A119" s="3" t="n">
        <v>202660001165</v>
      </c>
      <c r="B119" s="3"/>
      <c r="C119" s="3"/>
      <c r="D119" s="3" t="n">
        <v>31</v>
      </c>
      <c r="E119" s="3" t="s">
        <v>41</v>
      </c>
      <c r="F119" s="3" t="n">
        <v>20</v>
      </c>
      <c r="G119" s="3" t="s">
        <v>50</v>
      </c>
      <c r="H119" s="4" t="n">
        <v>46204</v>
      </c>
      <c r="I119" s="5" t="n">
        <v>46246</v>
      </c>
      <c r="J119" s="4" t="n">
        <v>46282</v>
      </c>
      <c r="K119" s="4" t="n">
        <v>46282</v>
      </c>
      <c r="L119" s="3"/>
      <c r="M119" s="3"/>
      <c r="N119" s="3"/>
      <c r="O119" s="3" t="s">
        <v>56</v>
      </c>
      <c r="P119" s="3"/>
      <c r="Q119" s="3"/>
      <c r="R119" s="3"/>
      <c r="S119" s="3"/>
      <c r="T119" s="3"/>
      <c r="U119" s="6" t="s">
        <v>68</v>
      </c>
      <c r="V119" s="3"/>
      <c r="W119" s="3"/>
      <c r="X119" s="3"/>
      <c r="Y119" s="3"/>
      <c r="Z119" s="3"/>
      <c r="AA119" s="3"/>
      <c r="AB119" s="3" t="n">
        <v>26</v>
      </c>
      <c r="AC119" s="3" t="n">
        <v>1</v>
      </c>
      <c r="AD119" s="6" t="s">
        <v>46</v>
      </c>
      <c r="AE119" s="3" t="s">
        <v>57</v>
      </c>
      <c r="AF119" s="6" t="s">
        <v>46</v>
      </c>
      <c r="AG119" s="6" t="s">
        <v>46</v>
      </c>
      <c r="AH119" s="6" t="s">
        <v>46</v>
      </c>
      <c r="AI119" s="3"/>
      <c r="AJ119" s="3"/>
      <c r="AK119" s="3"/>
      <c r="AL119" s="7" t="n">
        <f aca="false">IF(A119="","",IF(COUNTIF(A119:A$2001,A119)=1,1,0))</f>
        <v>1</v>
      </c>
      <c r="AM119" s="7" t="n">
        <f aca="true">IF(I119="","",TODAY()-I119)</f>
        <v>44</v>
      </c>
      <c r="AN119" s="7" t="n">
        <f aca="false">IF(A119="","",IF(AND(E119&lt;&gt;"33 確認済",E119&lt;&gt;"36 送付中"),1,0))</f>
        <v>1</v>
      </c>
      <c r="AO119" s="7" t="n">
        <f aca="false">IF(A119="","",IF(AG119&lt;&gt;"",1,0))</f>
        <v>1</v>
      </c>
    </row>
    <row r="120" customFormat="false" ht="15" hidden="false" customHeight="false" outlineLevel="0" collapsed="false">
      <c r="A120" s="3" t="n">
        <v>202660001169</v>
      </c>
      <c r="B120" s="3"/>
      <c r="C120" s="3"/>
      <c r="D120" s="3" t="n">
        <v>30</v>
      </c>
      <c r="E120" s="3" t="s">
        <v>93</v>
      </c>
      <c r="F120" s="3"/>
      <c r="G120" s="3"/>
      <c r="H120" s="4" t="n">
        <v>46027</v>
      </c>
      <c r="I120" s="5" t="n">
        <v>46247</v>
      </c>
      <c r="J120" s="4" t="n">
        <v>46255</v>
      </c>
      <c r="K120" s="3"/>
      <c r="L120" s="3"/>
      <c r="M120" s="3"/>
      <c r="N120" s="3"/>
      <c r="O120" s="3" t="s">
        <v>94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 t="n">
        <v>97</v>
      </c>
      <c r="AC120" s="3" t="n">
        <v>3</v>
      </c>
      <c r="AD120" s="6" t="s">
        <v>43</v>
      </c>
      <c r="AE120" s="3"/>
      <c r="AF120" s="3"/>
      <c r="AG120" s="3"/>
      <c r="AH120" s="6" t="s">
        <v>46</v>
      </c>
      <c r="AI120" s="3"/>
      <c r="AJ120" s="3"/>
      <c r="AK120" s="3"/>
      <c r="AL120" s="7" t="n">
        <f aca="false">IF(A120="","",IF(COUNTIF(A120:A$2001,A120)=1,1,0))</f>
        <v>1</v>
      </c>
      <c r="AM120" s="7" t="n">
        <f aca="true">IF(I120="","",TODAY()-I120)</f>
        <v>43</v>
      </c>
      <c r="AN120" s="7" t="n">
        <f aca="false">IF(A120="","",IF(AND(E120&lt;&gt;"33 確認済",E120&lt;&gt;"36 送付中"),1,0))</f>
        <v>1</v>
      </c>
      <c r="AO120" s="7" t="n">
        <f aca="false">IF(A120="","",IF(AG120&lt;&gt;"",1,0))</f>
        <v>0</v>
      </c>
    </row>
    <row r="121" customFormat="false" ht="15" hidden="false" customHeight="false" outlineLevel="0" collapsed="false">
      <c r="A121" s="3" t="n">
        <v>202660001171</v>
      </c>
      <c r="B121" s="3"/>
      <c r="C121" s="3"/>
      <c r="D121" s="3" t="n">
        <v>40</v>
      </c>
      <c r="E121" s="3" t="s">
        <v>49</v>
      </c>
      <c r="F121" s="3" t="n">
        <v>20</v>
      </c>
      <c r="G121" s="3" t="s">
        <v>50</v>
      </c>
      <c r="H121" s="4" t="n">
        <v>46113</v>
      </c>
      <c r="I121" s="5" t="n">
        <v>46251</v>
      </c>
      <c r="J121" s="4" t="n">
        <v>46261</v>
      </c>
      <c r="K121" s="4" t="n">
        <v>46261</v>
      </c>
      <c r="L121" s="3"/>
      <c r="M121" s="3"/>
      <c r="N121" s="3"/>
      <c r="O121" s="3" t="s">
        <v>67</v>
      </c>
      <c r="P121" s="6" t="s">
        <v>60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 t="n">
        <v>27</v>
      </c>
      <c r="AC121" s="3" t="n">
        <v>1</v>
      </c>
      <c r="AD121" s="6" t="s">
        <v>46</v>
      </c>
      <c r="AE121" s="3" t="s">
        <v>66</v>
      </c>
      <c r="AF121" s="6" t="s">
        <v>46</v>
      </c>
      <c r="AG121" s="6" t="s">
        <v>46</v>
      </c>
      <c r="AH121" s="6" t="s">
        <v>46</v>
      </c>
      <c r="AI121" s="3"/>
      <c r="AJ121" s="3"/>
      <c r="AK121" s="3"/>
      <c r="AL121" s="7" t="n">
        <f aca="false">IF(A121="","",IF(COUNTIF(A121:A$2001,A121)=1,1,0))</f>
        <v>1</v>
      </c>
      <c r="AM121" s="7" t="n">
        <f aca="true">IF(I121="","",TODAY()-I121)</f>
        <v>39</v>
      </c>
      <c r="AN121" s="7" t="n">
        <f aca="false">IF(A121="","",IF(AND(E121&lt;&gt;"33 確認済",E121&lt;&gt;"36 送付中"),1,0))</f>
        <v>1</v>
      </c>
      <c r="AO121" s="7" t="n">
        <f aca="false">IF(A121="","",IF(AG121&lt;&gt;"",1,0))</f>
        <v>1</v>
      </c>
    </row>
    <row r="122" customFormat="false" ht="15" hidden="false" customHeight="false" outlineLevel="0" collapsed="false">
      <c r="A122" s="3" t="n">
        <v>202660001173</v>
      </c>
      <c r="B122" s="3"/>
      <c r="C122" s="3"/>
      <c r="D122" s="3" t="n">
        <v>20</v>
      </c>
      <c r="E122" s="3" t="s">
        <v>69</v>
      </c>
      <c r="F122" s="3" t="n">
        <v>20</v>
      </c>
      <c r="G122" s="3" t="s">
        <v>50</v>
      </c>
      <c r="H122" s="4" t="n">
        <v>46247</v>
      </c>
      <c r="I122" s="5" t="n">
        <v>46247</v>
      </c>
      <c r="J122" s="4" t="n">
        <v>46267</v>
      </c>
      <c r="K122" s="4" t="n">
        <v>46267</v>
      </c>
      <c r="L122" s="3"/>
      <c r="M122" s="3"/>
      <c r="N122" s="3"/>
      <c r="O122" s="3" t="s">
        <v>86</v>
      </c>
      <c r="P122" s="6" t="s">
        <v>60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 t="n">
        <v>24</v>
      </c>
      <c r="AC122" s="3" t="n">
        <v>1</v>
      </c>
      <c r="AD122" s="6" t="s">
        <v>46</v>
      </c>
      <c r="AE122" s="3" t="s">
        <v>91</v>
      </c>
      <c r="AF122" s="6" t="s">
        <v>46</v>
      </c>
      <c r="AG122" s="6" t="s">
        <v>46</v>
      </c>
      <c r="AH122" s="3"/>
      <c r="AI122" s="3"/>
      <c r="AJ122" s="3"/>
      <c r="AK122" s="3"/>
      <c r="AL122" s="7" t="n">
        <f aca="false">IF(A122="","",IF(COUNTIF(A122:A$2001,A122)=1,1,0))</f>
        <v>1</v>
      </c>
      <c r="AM122" s="7" t="n">
        <f aca="true">IF(I122="","",TODAY()-I122)</f>
        <v>43</v>
      </c>
      <c r="AN122" s="7" t="n">
        <f aca="false">IF(A122="","",IF(AND(E122&lt;&gt;"33 確認済",E122&lt;&gt;"36 送付中"),1,0))</f>
        <v>1</v>
      </c>
      <c r="AO122" s="7" t="n">
        <f aca="false">IF(A122="","",IF(AG122&lt;&gt;"",1,0))</f>
        <v>1</v>
      </c>
    </row>
    <row r="123" customFormat="false" ht="15" hidden="false" customHeight="false" outlineLevel="0" collapsed="false">
      <c r="A123" s="3" t="n">
        <v>202660001183</v>
      </c>
      <c r="B123" s="3"/>
      <c r="C123" s="3"/>
      <c r="D123" s="3" t="n">
        <v>40</v>
      </c>
      <c r="E123" s="3" t="s">
        <v>49</v>
      </c>
      <c r="F123" s="3" t="n">
        <v>20</v>
      </c>
      <c r="G123" s="3" t="s">
        <v>50</v>
      </c>
      <c r="H123" s="4" t="n">
        <v>46219</v>
      </c>
      <c r="I123" s="5" t="n">
        <v>46249</v>
      </c>
      <c r="J123" s="4" t="n">
        <v>46253</v>
      </c>
      <c r="K123" s="4" t="n">
        <v>46253</v>
      </c>
      <c r="L123" s="3"/>
      <c r="M123" s="3"/>
      <c r="N123" s="3"/>
      <c r="O123" s="3" t="s">
        <v>67</v>
      </c>
      <c r="P123" s="6" t="s">
        <v>60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 t="n">
        <v>22</v>
      </c>
      <c r="AC123" s="3" t="n">
        <v>1</v>
      </c>
      <c r="AD123" s="6" t="s">
        <v>46</v>
      </c>
      <c r="AE123" s="3" t="s">
        <v>47</v>
      </c>
      <c r="AF123" s="6" t="s">
        <v>46</v>
      </c>
      <c r="AG123" s="6" t="s">
        <v>46</v>
      </c>
      <c r="AH123" s="3"/>
      <c r="AI123" s="3"/>
      <c r="AJ123" s="3"/>
      <c r="AK123" s="3"/>
      <c r="AL123" s="7" t="n">
        <f aca="false">IF(A123="","",IF(COUNTIF(A123:A$2001,A123)=1,1,0))</f>
        <v>1</v>
      </c>
      <c r="AM123" s="7" t="n">
        <f aca="true">IF(I123="","",TODAY()-I123)</f>
        <v>41</v>
      </c>
      <c r="AN123" s="7" t="n">
        <f aca="false">IF(A123="","",IF(AND(E123&lt;&gt;"33 確認済",E123&lt;&gt;"36 送付中"),1,0))</f>
        <v>1</v>
      </c>
      <c r="AO123" s="7" t="n">
        <f aca="false">IF(A123="","",IF(AG123&lt;&gt;"",1,0))</f>
        <v>1</v>
      </c>
    </row>
    <row r="124" customFormat="false" ht="15" hidden="false" customHeight="false" outlineLevel="0" collapsed="false">
      <c r="A124" s="3" t="n">
        <v>202660001185</v>
      </c>
      <c r="B124" s="3"/>
      <c r="C124" s="3"/>
      <c r="D124" s="3" t="n">
        <v>36</v>
      </c>
      <c r="E124" s="3" t="s">
        <v>87</v>
      </c>
      <c r="F124" s="3"/>
      <c r="G124" s="3"/>
      <c r="H124" s="4" t="n">
        <v>46215</v>
      </c>
      <c r="I124" s="5" t="n">
        <v>46252</v>
      </c>
      <c r="J124" s="4" t="n">
        <v>46258</v>
      </c>
      <c r="K124" s="4" t="n">
        <v>46258</v>
      </c>
      <c r="L124" s="4" t="n">
        <v>46289</v>
      </c>
      <c r="M124" s="4" t="n">
        <v>46289</v>
      </c>
      <c r="N124" s="3"/>
      <c r="O124" s="3" t="s">
        <v>88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 t="n">
        <v>25</v>
      </c>
      <c r="AC124" s="3" t="n">
        <v>1</v>
      </c>
      <c r="AD124" s="6" t="s">
        <v>46</v>
      </c>
      <c r="AE124" s="3" t="s">
        <v>54</v>
      </c>
      <c r="AF124" s="3"/>
      <c r="AG124" s="3"/>
      <c r="AH124" s="6" t="s">
        <v>46</v>
      </c>
      <c r="AI124" s="3"/>
      <c r="AJ124" s="3"/>
      <c r="AK124" s="3"/>
      <c r="AL124" s="7" t="n">
        <f aca="false">IF(A124="","",IF(COUNTIF(A124:A$2001,A124)=1,1,0))</f>
        <v>1</v>
      </c>
      <c r="AM124" s="7" t="n">
        <f aca="true">IF(I124="","",TODAY()-I124)</f>
        <v>38</v>
      </c>
      <c r="AN124" s="7" t="n">
        <f aca="false">IF(A124="","",IF(AND(E124&lt;&gt;"33 確認済",E124&lt;&gt;"36 送付中"),1,0))</f>
        <v>0</v>
      </c>
      <c r="AO124" s="7" t="n">
        <f aca="false">IF(A124="","",IF(AG124&lt;&gt;"",1,0))</f>
        <v>0</v>
      </c>
    </row>
    <row r="125" customFormat="false" ht="15" hidden="false" customHeight="false" outlineLevel="0" collapsed="false">
      <c r="A125" s="3" t="n">
        <v>202660001188</v>
      </c>
      <c r="B125" s="3"/>
      <c r="C125" s="3"/>
      <c r="D125" s="3" t="n">
        <v>40</v>
      </c>
      <c r="E125" s="3" t="s">
        <v>49</v>
      </c>
      <c r="F125" s="3" t="n">
        <v>20</v>
      </c>
      <c r="G125" s="3" t="s">
        <v>50</v>
      </c>
      <c r="H125" s="4" t="n">
        <v>46216</v>
      </c>
      <c r="I125" s="5" t="n">
        <v>46251</v>
      </c>
      <c r="J125" s="4" t="n">
        <v>46252</v>
      </c>
      <c r="K125" s="4" t="n">
        <v>46282</v>
      </c>
      <c r="L125" s="3"/>
      <c r="M125" s="3"/>
      <c r="N125" s="3"/>
      <c r="O125" s="3" t="s">
        <v>62</v>
      </c>
      <c r="P125" s="3"/>
      <c r="Q125" s="3"/>
      <c r="R125" s="3"/>
      <c r="S125" s="3"/>
      <c r="T125" s="3"/>
      <c r="U125" s="3"/>
      <c r="V125" s="3"/>
      <c r="W125" s="6" t="s">
        <v>63</v>
      </c>
      <c r="X125" s="3"/>
      <c r="Y125" s="3"/>
      <c r="Z125" s="3"/>
      <c r="AA125" s="3"/>
      <c r="AB125" s="3" t="n">
        <v>47</v>
      </c>
      <c r="AC125" s="3" t="n">
        <v>0</v>
      </c>
      <c r="AD125" s="6" t="s">
        <v>43</v>
      </c>
      <c r="AE125" s="3" t="s">
        <v>44</v>
      </c>
      <c r="AF125" s="3"/>
      <c r="AG125" s="6" t="s">
        <v>43</v>
      </c>
      <c r="AH125" s="3"/>
      <c r="AI125" s="3"/>
      <c r="AJ125" s="3"/>
      <c r="AK125" s="3"/>
      <c r="AL125" s="7" t="n">
        <f aca="false">IF(A125="","",IF(COUNTIF(A125:A$2001,A125)=1,1,0))</f>
        <v>1</v>
      </c>
      <c r="AM125" s="7" t="n">
        <f aca="true">IF(I125="","",TODAY()-I125)</f>
        <v>39</v>
      </c>
      <c r="AN125" s="7" t="n">
        <f aca="false">IF(A125="","",IF(AND(E125&lt;&gt;"33 確認済",E125&lt;&gt;"36 送付中"),1,0))</f>
        <v>1</v>
      </c>
      <c r="AO125" s="7" t="n">
        <f aca="false">IF(A125="","",IF(AG125&lt;&gt;"",1,0))</f>
        <v>1</v>
      </c>
    </row>
    <row r="126" customFormat="false" ht="15" hidden="false" customHeight="false" outlineLevel="0" collapsed="false">
      <c r="A126" s="3" t="n">
        <v>202660001197</v>
      </c>
      <c r="B126" s="3"/>
      <c r="C126" s="3"/>
      <c r="D126" s="3" t="n">
        <v>40</v>
      </c>
      <c r="E126" s="3" t="s">
        <v>49</v>
      </c>
      <c r="F126" s="3" t="n">
        <v>20</v>
      </c>
      <c r="G126" s="3" t="s">
        <v>50</v>
      </c>
      <c r="H126" s="4" t="n">
        <v>46251</v>
      </c>
      <c r="I126" s="5" t="n">
        <v>46252</v>
      </c>
      <c r="J126" s="4" t="n">
        <v>46252</v>
      </c>
      <c r="K126" s="4" t="n">
        <v>46267</v>
      </c>
      <c r="L126" s="3"/>
      <c r="M126" s="3"/>
      <c r="N126" s="3"/>
      <c r="O126" s="3" t="s">
        <v>62</v>
      </c>
      <c r="P126" s="3"/>
      <c r="Q126" s="3"/>
      <c r="R126" s="3"/>
      <c r="S126" s="3"/>
      <c r="T126" s="3"/>
      <c r="U126" s="3"/>
      <c r="V126" s="3"/>
      <c r="W126" s="6" t="s">
        <v>63</v>
      </c>
      <c r="X126" s="3"/>
      <c r="Y126" s="3"/>
      <c r="Z126" s="3"/>
      <c r="AA126" s="3"/>
      <c r="AB126" s="3" t="n">
        <v>3</v>
      </c>
      <c r="AC126" s="3" t="n">
        <v>0</v>
      </c>
      <c r="AD126" s="6" t="s">
        <v>43</v>
      </c>
      <c r="AE126" s="3" t="s">
        <v>73</v>
      </c>
      <c r="AF126" s="3"/>
      <c r="AG126" s="3"/>
      <c r="AH126" s="3"/>
      <c r="AI126" s="3"/>
      <c r="AJ126" s="3"/>
      <c r="AK126" s="3"/>
      <c r="AL126" s="7" t="n">
        <f aca="false">IF(A126="","",IF(COUNTIF(A126:A$2001,A126)=1,1,0))</f>
        <v>1</v>
      </c>
      <c r="AM126" s="7" t="n">
        <f aca="true">IF(I126="","",TODAY()-I126)</f>
        <v>38</v>
      </c>
      <c r="AN126" s="7" t="n">
        <f aca="false">IF(A126="","",IF(AND(E126&lt;&gt;"33 確認済",E126&lt;&gt;"36 送付中"),1,0))</f>
        <v>1</v>
      </c>
      <c r="AO126" s="7" t="n">
        <f aca="false">IF(A126="","",IF(AG126&lt;&gt;"",1,0))</f>
        <v>0</v>
      </c>
    </row>
    <row r="127" customFormat="false" ht="15" hidden="false" customHeight="false" outlineLevel="0" collapsed="false">
      <c r="A127" s="3" t="n">
        <v>202660001203</v>
      </c>
      <c r="B127" s="3"/>
      <c r="C127" s="3"/>
      <c r="D127" s="3" t="n">
        <v>32</v>
      </c>
      <c r="E127" s="3" t="s">
        <v>74</v>
      </c>
      <c r="F127" s="3" t="n">
        <v>20</v>
      </c>
      <c r="G127" s="3" t="s">
        <v>50</v>
      </c>
      <c r="H127" s="4" t="n">
        <v>46246</v>
      </c>
      <c r="I127" s="5" t="n">
        <v>46252</v>
      </c>
      <c r="J127" s="4" t="n">
        <v>46283</v>
      </c>
      <c r="K127" s="4" t="n">
        <v>46283</v>
      </c>
      <c r="L127" s="3"/>
      <c r="M127" s="3"/>
      <c r="N127" s="3"/>
      <c r="O127" s="3" t="s">
        <v>75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 t="n">
        <v>21</v>
      </c>
      <c r="AC127" s="3" t="n">
        <v>1</v>
      </c>
      <c r="AD127" s="6" t="s">
        <v>46</v>
      </c>
      <c r="AE127" s="3" t="s">
        <v>55</v>
      </c>
      <c r="AF127" s="6" t="s">
        <v>46</v>
      </c>
      <c r="AG127" s="6" t="s">
        <v>46</v>
      </c>
      <c r="AH127" s="6" t="s">
        <v>46</v>
      </c>
      <c r="AI127" s="3"/>
      <c r="AJ127" s="3"/>
      <c r="AK127" s="3"/>
      <c r="AL127" s="7" t="n">
        <f aca="false">IF(A127="","",IF(COUNTIF(A127:A$2001,A127)=1,1,0))</f>
        <v>1</v>
      </c>
      <c r="AM127" s="7" t="n">
        <f aca="true">IF(I127="","",TODAY()-I127)</f>
        <v>38</v>
      </c>
      <c r="AN127" s="7" t="n">
        <f aca="false">IF(A127="","",IF(AND(E127&lt;&gt;"33 確認済",E127&lt;&gt;"36 送付中"),1,0))</f>
        <v>1</v>
      </c>
      <c r="AO127" s="7" t="n">
        <f aca="false">IF(A127="","",IF(AG127&lt;&gt;"",1,0))</f>
        <v>1</v>
      </c>
    </row>
    <row r="128" customFormat="false" ht="15" hidden="false" customHeight="false" outlineLevel="0" collapsed="false">
      <c r="A128" s="3" t="n">
        <v>202660001204</v>
      </c>
      <c r="B128" s="3"/>
      <c r="C128" s="3"/>
      <c r="D128" s="3" t="n">
        <v>32</v>
      </c>
      <c r="E128" s="3" t="s">
        <v>74</v>
      </c>
      <c r="F128" s="3"/>
      <c r="G128" s="3"/>
      <c r="H128" s="4" t="n">
        <v>46242</v>
      </c>
      <c r="I128" s="5" t="n">
        <v>46252</v>
      </c>
      <c r="J128" s="4" t="n">
        <v>46253</v>
      </c>
      <c r="K128" s="4" t="n">
        <v>46265</v>
      </c>
      <c r="L128" s="3"/>
      <c r="M128" s="3"/>
      <c r="N128" s="3"/>
      <c r="O128" s="3" t="s">
        <v>75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 t="n">
        <v>23</v>
      </c>
      <c r="AC128" s="3" t="n">
        <v>1</v>
      </c>
      <c r="AD128" s="6" t="s">
        <v>46</v>
      </c>
      <c r="AE128" s="3" t="s">
        <v>52</v>
      </c>
      <c r="AF128" s="3"/>
      <c r="AG128" s="3"/>
      <c r="AH128" s="3"/>
      <c r="AI128" s="3"/>
      <c r="AJ128" s="3"/>
      <c r="AK128" s="3"/>
      <c r="AL128" s="7" t="n">
        <f aca="false">IF(A128="","",IF(COUNTIF(A128:A$2001,A128)=1,1,0))</f>
        <v>0</v>
      </c>
      <c r="AM128" s="7" t="n">
        <f aca="true">IF(I128="","",TODAY()-I128)</f>
        <v>38</v>
      </c>
      <c r="AN128" s="7" t="n">
        <f aca="false">IF(A128="","",IF(AND(E128&lt;&gt;"33 確認済",E128&lt;&gt;"36 送付中"),1,0))</f>
        <v>1</v>
      </c>
      <c r="AO128" s="7" t="n">
        <f aca="false">IF(A128="","",IF(AG128&lt;&gt;"",1,0))</f>
        <v>0</v>
      </c>
    </row>
    <row r="129" customFormat="false" ht="15" hidden="false" customHeight="false" outlineLevel="0" collapsed="false">
      <c r="A129" s="3" t="n">
        <v>202660001204</v>
      </c>
      <c r="B129" s="3"/>
      <c r="C129" s="3"/>
      <c r="D129" s="3" t="n">
        <v>32</v>
      </c>
      <c r="E129" s="3" t="s">
        <v>74</v>
      </c>
      <c r="F129" s="3"/>
      <c r="G129" s="3"/>
      <c r="H129" s="4" t="n">
        <v>46242</v>
      </c>
      <c r="I129" s="5" t="n">
        <v>46252</v>
      </c>
      <c r="J129" s="4" t="n">
        <v>46253</v>
      </c>
      <c r="K129" s="4" t="n">
        <v>46265</v>
      </c>
      <c r="L129" s="3"/>
      <c r="M129" s="3"/>
      <c r="N129" s="3"/>
      <c r="O129" s="3" t="s">
        <v>75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 t="n">
        <v>23</v>
      </c>
      <c r="AC129" s="3" t="n">
        <v>1</v>
      </c>
      <c r="AD129" s="6" t="s">
        <v>46</v>
      </c>
      <c r="AE129" s="3" t="s">
        <v>53</v>
      </c>
      <c r="AF129" s="3"/>
      <c r="AG129" s="3"/>
      <c r="AH129" s="3"/>
      <c r="AI129" s="3"/>
      <c r="AJ129" s="3"/>
      <c r="AK129" s="3"/>
      <c r="AL129" s="7" t="n">
        <f aca="false">IF(A129="","",IF(COUNTIF(A129:A$2001,A129)=1,1,0))</f>
        <v>1</v>
      </c>
      <c r="AM129" s="7" t="n">
        <f aca="true">IF(I129="","",TODAY()-I129)</f>
        <v>38</v>
      </c>
      <c r="AN129" s="7" t="n">
        <f aca="false">IF(A129="","",IF(AND(E129&lt;&gt;"33 確認済",E129&lt;&gt;"36 送付中"),1,0))</f>
        <v>1</v>
      </c>
      <c r="AO129" s="7" t="n">
        <f aca="false">IF(A129="","",IF(AG129&lt;&gt;"",1,0))</f>
        <v>0</v>
      </c>
    </row>
    <row r="130" customFormat="false" ht="15" hidden="false" customHeight="false" outlineLevel="0" collapsed="false">
      <c r="A130" s="3" t="n">
        <v>202660001209</v>
      </c>
      <c r="B130" s="3"/>
      <c r="C130" s="3"/>
      <c r="D130" s="3" t="n">
        <v>31</v>
      </c>
      <c r="E130" s="3" t="s">
        <v>41</v>
      </c>
      <c r="F130" s="3" t="n">
        <v>20</v>
      </c>
      <c r="G130" s="3" t="s">
        <v>50</v>
      </c>
      <c r="H130" s="4" t="n">
        <v>46242</v>
      </c>
      <c r="I130" s="5" t="n">
        <v>46253</v>
      </c>
      <c r="J130" s="4" t="n">
        <v>46289</v>
      </c>
      <c r="K130" s="4" t="n">
        <v>46289</v>
      </c>
      <c r="L130" s="3"/>
      <c r="M130" s="3"/>
      <c r="N130" s="3"/>
      <c r="O130" s="3" t="s">
        <v>42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 t="n">
        <v>23</v>
      </c>
      <c r="AC130" s="3" t="n">
        <v>1</v>
      </c>
      <c r="AD130" s="6" t="s">
        <v>46</v>
      </c>
      <c r="AE130" s="3" t="s">
        <v>52</v>
      </c>
      <c r="AF130" s="3"/>
      <c r="AG130" s="3"/>
      <c r="AH130" s="3"/>
      <c r="AI130" s="3"/>
      <c r="AJ130" s="3"/>
      <c r="AK130" s="3"/>
      <c r="AL130" s="7" t="n">
        <f aca="false">IF(A130="","",IF(COUNTIF(A130:A$2001,A130)=1,1,0))</f>
        <v>0</v>
      </c>
      <c r="AM130" s="7" t="n">
        <f aca="true">IF(I130="","",TODAY()-I130)</f>
        <v>37</v>
      </c>
      <c r="AN130" s="7" t="n">
        <f aca="false">IF(A130="","",IF(AND(E130&lt;&gt;"33 確認済",E130&lt;&gt;"36 送付中"),1,0))</f>
        <v>1</v>
      </c>
      <c r="AO130" s="7" t="n">
        <f aca="false">IF(A130="","",IF(AG130&lt;&gt;"",1,0))</f>
        <v>0</v>
      </c>
    </row>
    <row r="131" customFormat="false" ht="15" hidden="false" customHeight="false" outlineLevel="0" collapsed="false">
      <c r="A131" s="3" t="n">
        <v>202660001209</v>
      </c>
      <c r="B131" s="3"/>
      <c r="C131" s="3"/>
      <c r="D131" s="3" t="n">
        <v>31</v>
      </c>
      <c r="E131" s="3" t="s">
        <v>41</v>
      </c>
      <c r="F131" s="3" t="n">
        <v>20</v>
      </c>
      <c r="G131" s="3" t="s">
        <v>50</v>
      </c>
      <c r="H131" s="4" t="n">
        <v>46242</v>
      </c>
      <c r="I131" s="5" t="n">
        <v>46253</v>
      </c>
      <c r="J131" s="4" t="n">
        <v>46289</v>
      </c>
      <c r="K131" s="4" t="n">
        <v>46289</v>
      </c>
      <c r="L131" s="3"/>
      <c r="M131" s="3"/>
      <c r="N131" s="3"/>
      <c r="O131" s="3" t="s">
        <v>42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 t="n">
        <v>23</v>
      </c>
      <c r="AC131" s="3" t="n">
        <v>1</v>
      </c>
      <c r="AD131" s="6" t="s">
        <v>46</v>
      </c>
      <c r="AE131" s="3" t="s">
        <v>53</v>
      </c>
      <c r="AF131" s="3"/>
      <c r="AG131" s="3"/>
      <c r="AH131" s="3"/>
      <c r="AI131" s="3"/>
      <c r="AJ131" s="3"/>
      <c r="AK131" s="3"/>
      <c r="AL131" s="7" t="n">
        <f aca="false">IF(A131="","",IF(COUNTIF(A131:A$2001,A131)=1,1,0))</f>
        <v>1</v>
      </c>
      <c r="AM131" s="7" t="n">
        <f aca="true">IF(I131="","",TODAY()-I131)</f>
        <v>37</v>
      </c>
      <c r="AN131" s="7" t="n">
        <f aca="false">IF(A131="","",IF(AND(E131&lt;&gt;"33 確認済",E131&lt;&gt;"36 送付中"),1,0))</f>
        <v>1</v>
      </c>
      <c r="AO131" s="7" t="n">
        <f aca="false">IF(A131="","",IF(AG131&lt;&gt;"",1,0))</f>
        <v>0</v>
      </c>
    </row>
    <row r="132" customFormat="false" ht="15" hidden="false" customHeight="false" outlineLevel="0" collapsed="false">
      <c r="A132" s="3" t="n">
        <v>202660001210</v>
      </c>
      <c r="B132" s="3"/>
      <c r="C132" s="3"/>
      <c r="D132" s="3" t="n">
        <v>33</v>
      </c>
      <c r="E132" s="3" t="s">
        <v>89</v>
      </c>
      <c r="F132" s="3"/>
      <c r="G132" s="3"/>
      <c r="H132" s="4" t="n">
        <v>46143</v>
      </c>
      <c r="I132" s="5" t="n">
        <v>46253</v>
      </c>
      <c r="J132" s="4" t="n">
        <v>46258</v>
      </c>
      <c r="K132" s="4" t="n">
        <v>46258</v>
      </c>
      <c r="L132" s="3"/>
      <c r="M132" s="3"/>
      <c r="N132" s="3"/>
      <c r="O132" s="3" t="s">
        <v>51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 t="n">
        <v>48</v>
      </c>
      <c r="AC132" s="3" t="n">
        <v>0</v>
      </c>
      <c r="AD132" s="6" t="s">
        <v>43</v>
      </c>
      <c r="AE132" s="3" t="s">
        <v>96</v>
      </c>
      <c r="AF132" s="6" t="s">
        <v>43</v>
      </c>
      <c r="AG132" s="6" t="s">
        <v>43</v>
      </c>
      <c r="AH132" s="6" t="s">
        <v>43</v>
      </c>
      <c r="AI132" s="3"/>
      <c r="AJ132" s="3"/>
      <c r="AK132" s="3"/>
      <c r="AL132" s="7" t="n">
        <f aca="false">IF(A132="","",IF(COUNTIF(A132:A$2001,A132)=1,1,0))</f>
        <v>1</v>
      </c>
      <c r="AM132" s="7" t="n">
        <f aca="true">IF(I132="","",TODAY()-I132)</f>
        <v>37</v>
      </c>
      <c r="AN132" s="7" t="n">
        <f aca="false">IF(A132="","",IF(AND(E132&lt;&gt;"33 確認済",E132&lt;&gt;"36 送付中"),1,0))</f>
        <v>0</v>
      </c>
      <c r="AO132" s="7" t="n">
        <f aca="false">IF(A132="","",IF(AG132&lt;&gt;"",1,0))</f>
        <v>1</v>
      </c>
    </row>
    <row r="133" customFormat="false" ht="15" hidden="false" customHeight="false" outlineLevel="0" collapsed="false">
      <c r="A133" s="3" t="n">
        <v>202660001211</v>
      </c>
      <c r="B133" s="3"/>
      <c r="C133" s="3"/>
      <c r="D133" s="3" t="n">
        <v>40</v>
      </c>
      <c r="E133" s="3" t="s">
        <v>49</v>
      </c>
      <c r="F133" s="3" t="n">
        <v>20</v>
      </c>
      <c r="G133" s="3" t="s">
        <v>50</v>
      </c>
      <c r="H133" s="4" t="n">
        <v>46248</v>
      </c>
      <c r="I133" s="5" t="n">
        <v>46253</v>
      </c>
      <c r="J133" s="4" t="n">
        <v>46255</v>
      </c>
      <c r="K133" s="4" t="n">
        <v>46255</v>
      </c>
      <c r="L133" s="3"/>
      <c r="M133" s="3"/>
      <c r="N133" s="3"/>
      <c r="O133" s="3" t="s">
        <v>67</v>
      </c>
      <c r="P133" s="6" t="s">
        <v>60</v>
      </c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 t="n">
        <v>21</v>
      </c>
      <c r="AC133" s="3" t="n">
        <v>1</v>
      </c>
      <c r="AD133" s="6" t="s">
        <v>46</v>
      </c>
      <c r="AE133" s="3" t="s">
        <v>55</v>
      </c>
      <c r="AF133" s="6" t="s">
        <v>46</v>
      </c>
      <c r="AG133" s="6" t="s">
        <v>46</v>
      </c>
      <c r="AH133" s="6" t="s">
        <v>46</v>
      </c>
      <c r="AI133" s="3"/>
      <c r="AJ133" s="3"/>
      <c r="AK133" s="3"/>
      <c r="AL133" s="7" t="n">
        <f aca="false">IF(A133="","",IF(COUNTIF(A133:A$2001,A133)=1,1,0))</f>
        <v>1</v>
      </c>
      <c r="AM133" s="7" t="n">
        <f aca="true">IF(I133="","",TODAY()-I133)</f>
        <v>37</v>
      </c>
      <c r="AN133" s="7" t="n">
        <f aca="false">IF(A133="","",IF(AND(E133&lt;&gt;"33 確認済",E133&lt;&gt;"36 送付中"),1,0))</f>
        <v>1</v>
      </c>
      <c r="AO133" s="7" t="n">
        <f aca="false">IF(A133="","",IF(AG133&lt;&gt;"",1,0))</f>
        <v>1</v>
      </c>
    </row>
    <row r="134" customFormat="false" ht="15" hidden="false" customHeight="false" outlineLevel="0" collapsed="false">
      <c r="A134" s="3" t="n">
        <v>202660001212</v>
      </c>
      <c r="B134" s="3"/>
      <c r="C134" s="3"/>
      <c r="D134" s="3" t="n">
        <v>31</v>
      </c>
      <c r="E134" s="3" t="s">
        <v>41</v>
      </c>
      <c r="F134" s="3"/>
      <c r="G134" s="3"/>
      <c r="H134" s="4" t="n">
        <v>46114</v>
      </c>
      <c r="I134" s="5" t="n">
        <v>46253</v>
      </c>
      <c r="J134" s="4" t="n">
        <v>46266</v>
      </c>
      <c r="K134" s="4" t="n">
        <v>46266</v>
      </c>
      <c r="L134" s="3"/>
      <c r="M134" s="3"/>
      <c r="N134" s="3"/>
      <c r="O134" s="3" t="s">
        <v>42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 t="n">
        <v>21</v>
      </c>
      <c r="AC134" s="3" t="n">
        <v>1</v>
      </c>
      <c r="AD134" s="6" t="s">
        <v>46</v>
      </c>
      <c r="AE134" s="3" t="s">
        <v>55</v>
      </c>
      <c r="AF134" s="3"/>
      <c r="AG134" s="3"/>
      <c r="AH134" s="6" t="s">
        <v>46</v>
      </c>
      <c r="AI134" s="3"/>
      <c r="AJ134" s="3"/>
      <c r="AK134" s="3"/>
      <c r="AL134" s="7" t="n">
        <f aca="false">IF(A134="","",IF(COUNTIF(A134:A$2001,A134)=1,1,0))</f>
        <v>1</v>
      </c>
      <c r="AM134" s="7" t="n">
        <f aca="true">IF(I134="","",TODAY()-I134)</f>
        <v>37</v>
      </c>
      <c r="AN134" s="7" t="n">
        <f aca="false">IF(A134="","",IF(AND(E134&lt;&gt;"33 確認済",E134&lt;&gt;"36 送付中"),1,0))</f>
        <v>1</v>
      </c>
      <c r="AO134" s="7" t="n">
        <f aca="false">IF(A134="","",IF(AG134&lt;&gt;"",1,0))</f>
        <v>0</v>
      </c>
    </row>
    <row r="135" customFormat="false" ht="15" hidden="false" customHeight="false" outlineLevel="0" collapsed="false">
      <c r="A135" s="3" t="n">
        <v>202660001215</v>
      </c>
      <c r="B135" s="3"/>
      <c r="C135" s="3"/>
      <c r="D135" s="3" t="n">
        <v>40</v>
      </c>
      <c r="E135" s="3" t="s">
        <v>49</v>
      </c>
      <c r="F135" s="3" t="n">
        <v>20</v>
      </c>
      <c r="G135" s="3" t="s">
        <v>50</v>
      </c>
      <c r="H135" s="4" t="n">
        <v>46113</v>
      </c>
      <c r="I135" s="5" t="n">
        <v>46258</v>
      </c>
      <c r="J135" s="4" t="n">
        <v>46260</v>
      </c>
      <c r="K135" s="4" t="n">
        <v>46260</v>
      </c>
      <c r="L135" s="3"/>
      <c r="M135" s="3"/>
      <c r="N135" s="3"/>
      <c r="O135" s="3" t="s">
        <v>67</v>
      </c>
      <c r="P135" s="6" t="s">
        <v>60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 t="n">
        <v>47</v>
      </c>
      <c r="AC135" s="3" t="n">
        <v>0</v>
      </c>
      <c r="AD135" s="6" t="s">
        <v>43</v>
      </c>
      <c r="AE135" s="3" t="s">
        <v>44</v>
      </c>
      <c r="AF135" s="6" t="s">
        <v>43</v>
      </c>
      <c r="AG135" s="6" t="s">
        <v>43</v>
      </c>
      <c r="AH135" s="6" t="s">
        <v>43</v>
      </c>
      <c r="AI135" s="3"/>
      <c r="AJ135" s="3"/>
      <c r="AK135" s="3"/>
      <c r="AL135" s="7" t="n">
        <f aca="false">IF(A135="","",IF(COUNTIF(A135:A$2001,A135)=1,1,0))</f>
        <v>1</v>
      </c>
      <c r="AM135" s="7" t="n">
        <f aca="true">IF(I135="","",TODAY()-I135)</f>
        <v>32</v>
      </c>
      <c r="AN135" s="7" t="n">
        <f aca="false">IF(A135="","",IF(AND(E135&lt;&gt;"33 確認済",E135&lt;&gt;"36 送付中"),1,0))</f>
        <v>1</v>
      </c>
      <c r="AO135" s="7" t="n">
        <f aca="false">IF(A135="","",IF(AG135&lt;&gt;"",1,0))</f>
        <v>1</v>
      </c>
    </row>
    <row r="136" customFormat="false" ht="15" hidden="false" customHeight="false" outlineLevel="0" collapsed="false">
      <c r="A136" s="3" t="n">
        <v>202660001217</v>
      </c>
      <c r="B136" s="3"/>
      <c r="C136" s="3"/>
      <c r="D136" s="3" t="n">
        <v>31</v>
      </c>
      <c r="E136" s="3" t="s">
        <v>41</v>
      </c>
      <c r="F136" s="3" t="n">
        <v>20</v>
      </c>
      <c r="G136" s="3" t="s">
        <v>50</v>
      </c>
      <c r="H136" s="4" t="n">
        <v>46248</v>
      </c>
      <c r="I136" s="5" t="n">
        <v>46254</v>
      </c>
      <c r="J136" s="4" t="n">
        <v>46283</v>
      </c>
      <c r="K136" s="4" t="n">
        <v>46283</v>
      </c>
      <c r="L136" s="3"/>
      <c r="M136" s="3"/>
      <c r="N136" s="3"/>
      <c r="O136" s="3" t="s">
        <v>42</v>
      </c>
      <c r="P136" s="3"/>
      <c r="Q136" s="3"/>
      <c r="R136" s="3"/>
      <c r="S136" s="6" t="s">
        <v>58</v>
      </c>
      <c r="T136" s="3"/>
      <c r="U136" s="3"/>
      <c r="V136" s="3"/>
      <c r="W136" s="3"/>
      <c r="X136" s="3"/>
      <c r="Y136" s="3"/>
      <c r="Z136" s="3"/>
      <c r="AA136" s="3"/>
      <c r="AB136" s="3" t="n">
        <v>22</v>
      </c>
      <c r="AC136" s="3" t="n">
        <v>1</v>
      </c>
      <c r="AD136" s="6" t="s">
        <v>46</v>
      </c>
      <c r="AE136" s="3" t="s">
        <v>47</v>
      </c>
      <c r="AF136" s="3"/>
      <c r="AG136" s="6" t="s">
        <v>46</v>
      </c>
      <c r="AH136" s="3"/>
      <c r="AI136" s="3"/>
      <c r="AJ136" s="3"/>
      <c r="AK136" s="3"/>
      <c r="AL136" s="7" t="n">
        <f aca="false">IF(A136="","",IF(COUNTIF(A136:A$2001,A136)=1,1,0))</f>
        <v>1</v>
      </c>
      <c r="AM136" s="7" t="n">
        <f aca="true">IF(I136="","",TODAY()-I136)</f>
        <v>36</v>
      </c>
      <c r="AN136" s="7" t="n">
        <f aca="false">IF(A136="","",IF(AND(E136&lt;&gt;"33 確認済",E136&lt;&gt;"36 送付中"),1,0))</f>
        <v>1</v>
      </c>
      <c r="AO136" s="7" t="n">
        <f aca="false">IF(A136="","",IF(AG136&lt;&gt;"",1,0))</f>
        <v>1</v>
      </c>
    </row>
    <row r="137" customFormat="false" ht="15" hidden="false" customHeight="false" outlineLevel="0" collapsed="false">
      <c r="A137" s="3" t="n">
        <v>202660001220</v>
      </c>
      <c r="B137" s="3"/>
      <c r="C137" s="3"/>
      <c r="D137" s="3" t="n">
        <v>40</v>
      </c>
      <c r="E137" s="3" t="s">
        <v>49</v>
      </c>
      <c r="F137" s="3" t="n">
        <v>20</v>
      </c>
      <c r="G137" s="3" t="s">
        <v>50</v>
      </c>
      <c r="H137" s="4" t="n">
        <v>46251</v>
      </c>
      <c r="I137" s="5" t="n">
        <v>46255</v>
      </c>
      <c r="J137" s="4" t="n">
        <v>46259</v>
      </c>
      <c r="K137" s="4" t="n">
        <v>46259</v>
      </c>
      <c r="L137" s="3"/>
      <c r="M137" s="3"/>
      <c r="N137" s="3"/>
      <c r="O137" s="3" t="s">
        <v>67</v>
      </c>
      <c r="P137" s="6" t="s">
        <v>60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 t="n">
        <v>99</v>
      </c>
      <c r="AC137" s="3" t="n">
        <v>1</v>
      </c>
      <c r="AD137" s="6" t="s">
        <v>46</v>
      </c>
      <c r="AE137" s="3" t="s">
        <v>61</v>
      </c>
      <c r="AF137" s="6" t="s">
        <v>46</v>
      </c>
      <c r="AG137" s="6" t="s">
        <v>46</v>
      </c>
      <c r="AH137" s="6" t="s">
        <v>46</v>
      </c>
      <c r="AI137" s="3"/>
      <c r="AJ137" s="3"/>
      <c r="AK137" s="3"/>
      <c r="AL137" s="7" t="n">
        <f aca="false">IF(A137="","",IF(COUNTIF(A137:A$2001,A137)=1,1,0))</f>
        <v>1</v>
      </c>
      <c r="AM137" s="7" t="n">
        <f aca="true">IF(I137="","",TODAY()-I137)</f>
        <v>35</v>
      </c>
      <c r="AN137" s="7" t="n">
        <f aca="false">IF(A137="","",IF(AND(E137&lt;&gt;"33 確認済",E137&lt;&gt;"36 送付中"),1,0))</f>
        <v>1</v>
      </c>
      <c r="AO137" s="7" t="n">
        <f aca="false">IF(A137="","",IF(AG137&lt;&gt;"",1,0))</f>
        <v>1</v>
      </c>
    </row>
    <row r="138" customFormat="false" ht="15" hidden="false" customHeight="false" outlineLevel="0" collapsed="false">
      <c r="A138" s="3" t="n">
        <v>202660001221</v>
      </c>
      <c r="B138" s="3"/>
      <c r="C138" s="3"/>
      <c r="D138" s="3" t="n">
        <v>31</v>
      </c>
      <c r="E138" s="3" t="s">
        <v>41</v>
      </c>
      <c r="F138" s="3" t="n">
        <v>20</v>
      </c>
      <c r="G138" s="3" t="s">
        <v>50</v>
      </c>
      <c r="H138" s="4" t="n">
        <v>46254</v>
      </c>
      <c r="I138" s="5" t="n">
        <v>46255</v>
      </c>
      <c r="J138" s="4" t="n">
        <v>46283</v>
      </c>
      <c r="K138" s="4" t="n">
        <v>46283</v>
      </c>
      <c r="L138" s="3"/>
      <c r="M138" s="3"/>
      <c r="N138" s="3"/>
      <c r="O138" s="3" t="s">
        <v>56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 t="n">
        <v>26</v>
      </c>
      <c r="AC138" s="3" t="n">
        <v>1</v>
      </c>
      <c r="AD138" s="6" t="s">
        <v>46</v>
      </c>
      <c r="AE138" s="3" t="s">
        <v>57</v>
      </c>
      <c r="AF138" s="6" t="s">
        <v>46</v>
      </c>
      <c r="AG138" s="6" t="s">
        <v>46</v>
      </c>
      <c r="AH138" s="6" t="s">
        <v>46</v>
      </c>
      <c r="AI138" s="3"/>
      <c r="AJ138" s="3"/>
      <c r="AK138" s="3"/>
      <c r="AL138" s="7" t="n">
        <f aca="false">IF(A138="","",IF(COUNTIF(A138:A$2001,A138)=1,1,0))</f>
        <v>1</v>
      </c>
      <c r="AM138" s="7" t="n">
        <f aca="true">IF(I138="","",TODAY()-I138)</f>
        <v>35</v>
      </c>
      <c r="AN138" s="7" t="n">
        <f aca="false">IF(A138="","",IF(AND(E138&lt;&gt;"33 確認済",E138&lt;&gt;"36 送付中"),1,0))</f>
        <v>1</v>
      </c>
      <c r="AO138" s="7" t="n">
        <f aca="false">IF(A138="","",IF(AG138&lt;&gt;"",1,0))</f>
        <v>1</v>
      </c>
    </row>
    <row r="139" customFormat="false" ht="15" hidden="false" customHeight="false" outlineLevel="0" collapsed="false">
      <c r="A139" s="3" t="n">
        <v>202660001231</v>
      </c>
      <c r="B139" s="3"/>
      <c r="C139" s="3"/>
      <c r="D139" s="3" t="n">
        <v>32</v>
      </c>
      <c r="E139" s="3" t="s">
        <v>74</v>
      </c>
      <c r="F139" s="3" t="n">
        <v>20</v>
      </c>
      <c r="G139" s="3" t="s">
        <v>50</v>
      </c>
      <c r="H139" s="4" t="n">
        <v>46234</v>
      </c>
      <c r="I139" s="5" t="n">
        <v>46259</v>
      </c>
      <c r="J139" s="4" t="n">
        <v>46283</v>
      </c>
      <c r="K139" s="4" t="n">
        <v>46283</v>
      </c>
      <c r="L139" s="3"/>
      <c r="M139" s="3"/>
      <c r="N139" s="3"/>
      <c r="O139" s="3" t="s">
        <v>82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 t="n">
        <v>22</v>
      </c>
      <c r="AC139" s="3" t="n">
        <v>1</v>
      </c>
      <c r="AD139" s="6" t="s">
        <v>46</v>
      </c>
      <c r="AE139" s="3" t="s">
        <v>47</v>
      </c>
      <c r="AF139" s="6" t="s">
        <v>46</v>
      </c>
      <c r="AG139" s="6" t="s">
        <v>46</v>
      </c>
      <c r="AH139" s="6" t="s">
        <v>46</v>
      </c>
      <c r="AI139" s="3"/>
      <c r="AJ139" s="3"/>
      <c r="AK139" s="3"/>
      <c r="AL139" s="7" t="n">
        <f aca="false">IF(A139="","",IF(COUNTIF(A139:A$2001,A139)=1,1,0))</f>
        <v>1</v>
      </c>
      <c r="AM139" s="7" t="n">
        <f aca="true">IF(I139="","",TODAY()-I139)</f>
        <v>31</v>
      </c>
      <c r="AN139" s="7" t="n">
        <f aca="false">IF(A139="","",IF(AND(E139&lt;&gt;"33 確認済",E139&lt;&gt;"36 送付中"),1,0))</f>
        <v>1</v>
      </c>
      <c r="AO139" s="7" t="n">
        <f aca="false">IF(A139="","",IF(AG139&lt;&gt;"",1,0))</f>
        <v>1</v>
      </c>
    </row>
    <row r="140" customFormat="false" ht="15" hidden="false" customHeight="false" outlineLevel="0" collapsed="false">
      <c r="A140" s="3" t="n">
        <v>202660001233</v>
      </c>
      <c r="B140" s="3"/>
      <c r="C140" s="3"/>
      <c r="D140" s="3" t="n">
        <v>40</v>
      </c>
      <c r="E140" s="3" t="s">
        <v>49</v>
      </c>
      <c r="F140" s="3" t="n">
        <v>20</v>
      </c>
      <c r="G140" s="3" t="s">
        <v>50</v>
      </c>
      <c r="H140" s="4" t="n">
        <v>46255</v>
      </c>
      <c r="I140" s="5" t="n">
        <v>46260</v>
      </c>
      <c r="J140" s="4" t="n">
        <v>46273</v>
      </c>
      <c r="K140" s="4" t="n">
        <v>46273</v>
      </c>
      <c r="L140" s="3"/>
      <c r="M140" s="3"/>
      <c r="N140" s="3"/>
      <c r="O140" s="3" t="s">
        <v>51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 t="n">
        <v>22</v>
      </c>
      <c r="AC140" s="3" t="n">
        <v>1</v>
      </c>
      <c r="AD140" s="6" t="s">
        <v>46</v>
      </c>
      <c r="AE140" s="3" t="s">
        <v>47</v>
      </c>
      <c r="AF140" s="3"/>
      <c r="AG140" s="6" t="s">
        <v>46</v>
      </c>
      <c r="AH140" s="3"/>
      <c r="AI140" s="3"/>
      <c r="AJ140" s="3"/>
      <c r="AK140" s="3"/>
      <c r="AL140" s="7" t="n">
        <f aca="false">IF(A140="","",IF(COUNTIF(A140:A$2001,A140)=1,1,0))</f>
        <v>1</v>
      </c>
      <c r="AM140" s="7" t="n">
        <f aca="true">IF(I140="","",TODAY()-I140)</f>
        <v>30</v>
      </c>
      <c r="AN140" s="7" t="n">
        <f aca="false">IF(A140="","",IF(AND(E140&lt;&gt;"33 確認済",E140&lt;&gt;"36 送付中"),1,0))</f>
        <v>1</v>
      </c>
      <c r="AO140" s="7" t="n">
        <f aca="false">IF(A140="","",IF(AG140&lt;&gt;"",1,0))</f>
        <v>1</v>
      </c>
    </row>
    <row r="141" customFormat="false" ht="15" hidden="false" customHeight="false" outlineLevel="0" collapsed="false">
      <c r="A141" s="3" t="n">
        <v>202660001236</v>
      </c>
      <c r="B141" s="3"/>
      <c r="C141" s="3"/>
      <c r="D141" s="3" t="n">
        <v>40</v>
      </c>
      <c r="E141" s="3" t="s">
        <v>49</v>
      </c>
      <c r="F141" s="3" t="n">
        <v>20</v>
      </c>
      <c r="G141" s="3" t="s">
        <v>50</v>
      </c>
      <c r="H141" s="4" t="n">
        <v>46176</v>
      </c>
      <c r="I141" s="5" t="n">
        <v>46258</v>
      </c>
      <c r="J141" s="4" t="n">
        <v>46267</v>
      </c>
      <c r="K141" s="4" t="n">
        <v>46267</v>
      </c>
      <c r="L141" s="3"/>
      <c r="M141" s="3"/>
      <c r="N141" s="3"/>
      <c r="O141" s="3" t="s">
        <v>67</v>
      </c>
      <c r="P141" s="6" t="s">
        <v>60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 t="n">
        <v>51</v>
      </c>
      <c r="AC141" s="3" t="n">
        <v>0</v>
      </c>
      <c r="AD141" s="6" t="s">
        <v>43</v>
      </c>
      <c r="AE141" s="3" t="s">
        <v>72</v>
      </c>
      <c r="AF141" s="6" t="s">
        <v>43</v>
      </c>
      <c r="AG141" s="3"/>
      <c r="AH141" s="3"/>
      <c r="AI141" s="3"/>
      <c r="AJ141" s="3"/>
      <c r="AK141" s="3"/>
      <c r="AL141" s="7" t="n">
        <f aca="false">IF(A141="","",IF(COUNTIF(A141:A$2001,A141)=1,1,0))</f>
        <v>1</v>
      </c>
      <c r="AM141" s="7" t="n">
        <f aca="true">IF(I141="","",TODAY()-I141)</f>
        <v>32</v>
      </c>
      <c r="AN141" s="7" t="n">
        <f aca="false">IF(A141="","",IF(AND(E141&lt;&gt;"33 確認済",E141&lt;&gt;"36 送付中"),1,0))</f>
        <v>1</v>
      </c>
      <c r="AO141" s="7" t="n">
        <f aca="false">IF(A141="","",IF(AG141&lt;&gt;"",1,0))</f>
        <v>0</v>
      </c>
    </row>
    <row r="142" customFormat="false" ht="15" hidden="false" customHeight="false" outlineLevel="0" collapsed="false">
      <c r="A142" s="3" t="n">
        <v>202660001240</v>
      </c>
      <c r="B142" s="3"/>
      <c r="C142" s="3"/>
      <c r="D142" s="3" t="n">
        <v>20</v>
      </c>
      <c r="E142" s="3" t="s">
        <v>69</v>
      </c>
      <c r="F142" s="3"/>
      <c r="G142" s="3"/>
      <c r="H142" s="3"/>
      <c r="I142" s="5" t="n">
        <v>46259</v>
      </c>
      <c r="J142" s="3"/>
      <c r="K142" s="3"/>
      <c r="L142" s="3"/>
      <c r="M142" s="3"/>
      <c r="N142" s="3"/>
      <c r="O142" s="3" t="s">
        <v>81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6" t="s">
        <v>43</v>
      </c>
      <c r="AE142" s="3"/>
      <c r="AF142" s="3"/>
      <c r="AG142" s="3"/>
      <c r="AH142" s="3"/>
      <c r="AI142" s="3"/>
      <c r="AJ142" s="6" t="s">
        <v>80</v>
      </c>
      <c r="AK142" s="3"/>
      <c r="AL142" s="7" t="n">
        <f aca="false">IF(A142="","",IF(COUNTIF(A142:A$2001,A142)=1,1,0))</f>
        <v>1</v>
      </c>
      <c r="AM142" s="7" t="n">
        <f aca="true">IF(I142="","",TODAY()-I142)</f>
        <v>31</v>
      </c>
      <c r="AN142" s="7" t="n">
        <f aca="false">IF(A142="","",IF(AND(E142&lt;&gt;"33 確認済",E142&lt;&gt;"36 送付中"),1,0))</f>
        <v>1</v>
      </c>
      <c r="AO142" s="7" t="n">
        <f aca="false">IF(A142="","",IF(AG142&lt;&gt;"",1,0))</f>
        <v>0</v>
      </c>
    </row>
    <row r="143" customFormat="false" ht="15" hidden="false" customHeight="false" outlineLevel="0" collapsed="false">
      <c r="A143" s="3" t="n">
        <v>202660001245</v>
      </c>
      <c r="B143" s="3"/>
      <c r="C143" s="3"/>
      <c r="D143" s="3" t="n">
        <v>30</v>
      </c>
      <c r="E143" s="3" t="s">
        <v>93</v>
      </c>
      <c r="F143" s="3"/>
      <c r="G143" s="3"/>
      <c r="H143" s="4" t="n">
        <v>46171</v>
      </c>
      <c r="I143" s="5" t="n">
        <v>46259</v>
      </c>
      <c r="J143" s="4" t="n">
        <v>46260</v>
      </c>
      <c r="K143" s="3"/>
      <c r="L143" s="3"/>
      <c r="M143" s="3"/>
      <c r="N143" s="3"/>
      <c r="O143" s="3" t="s">
        <v>94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 t="n">
        <v>99</v>
      </c>
      <c r="AC143" s="3" t="n">
        <v>1</v>
      </c>
      <c r="AD143" s="6" t="s">
        <v>46</v>
      </c>
      <c r="AE143" s="3" t="s">
        <v>61</v>
      </c>
      <c r="AF143" s="3"/>
      <c r="AG143" s="3"/>
      <c r="AH143" s="3"/>
      <c r="AI143" s="3"/>
      <c r="AJ143" s="3"/>
      <c r="AK143" s="3"/>
      <c r="AL143" s="7" t="n">
        <f aca="false">IF(A143="","",IF(COUNTIF(A143:A$2001,A143)=1,1,0))</f>
        <v>1</v>
      </c>
      <c r="AM143" s="7" t="n">
        <f aca="true">IF(I143="","",TODAY()-I143)</f>
        <v>31</v>
      </c>
      <c r="AN143" s="7" t="n">
        <f aca="false">IF(A143="","",IF(AND(E143&lt;&gt;"33 確認済",E143&lt;&gt;"36 送付中"),1,0))</f>
        <v>1</v>
      </c>
      <c r="AO143" s="7" t="n">
        <f aca="false">IF(A143="","",IF(AG143&lt;&gt;"",1,0))</f>
        <v>0</v>
      </c>
    </row>
    <row r="144" customFormat="false" ht="15" hidden="false" customHeight="false" outlineLevel="0" collapsed="false">
      <c r="A144" s="3" t="n">
        <v>202660001249</v>
      </c>
      <c r="B144" s="3"/>
      <c r="C144" s="3"/>
      <c r="D144" s="3" t="n">
        <v>30</v>
      </c>
      <c r="E144" s="3" t="s">
        <v>93</v>
      </c>
      <c r="F144" s="3"/>
      <c r="G144" s="3"/>
      <c r="H144" s="4" t="n">
        <v>46127</v>
      </c>
      <c r="I144" s="5" t="n">
        <v>46273</v>
      </c>
      <c r="J144" s="4" t="n">
        <v>46289</v>
      </c>
      <c r="K144" s="3"/>
      <c r="L144" s="3"/>
      <c r="M144" s="3"/>
      <c r="N144" s="3"/>
      <c r="O144" s="3" t="s">
        <v>94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 t="n">
        <v>54</v>
      </c>
      <c r="AC144" s="3" t="n">
        <v>0</v>
      </c>
      <c r="AD144" s="6" t="s">
        <v>43</v>
      </c>
      <c r="AE144" s="3" t="s">
        <v>85</v>
      </c>
      <c r="AF144" s="6" t="s">
        <v>43</v>
      </c>
      <c r="AG144" s="6" t="s">
        <v>43</v>
      </c>
      <c r="AH144" s="6" t="s">
        <v>43</v>
      </c>
      <c r="AI144" s="3"/>
      <c r="AJ144" s="3"/>
      <c r="AK144" s="3"/>
      <c r="AL144" s="7" t="n">
        <f aca="false">IF(A144="","",IF(COUNTIF(A144:A$2001,A144)=1,1,0))</f>
        <v>1</v>
      </c>
      <c r="AM144" s="7" t="n">
        <f aca="true">IF(I144="","",TODAY()-I144)</f>
        <v>17</v>
      </c>
      <c r="AN144" s="7" t="n">
        <f aca="false">IF(A144="","",IF(AND(E144&lt;&gt;"33 確認済",E144&lt;&gt;"36 送付中"),1,0))</f>
        <v>1</v>
      </c>
      <c r="AO144" s="7" t="n">
        <f aca="false">IF(A144="","",IF(AG144&lt;&gt;"",1,0))</f>
        <v>1</v>
      </c>
    </row>
    <row r="145" customFormat="false" ht="15" hidden="false" customHeight="false" outlineLevel="0" collapsed="false">
      <c r="A145" s="3" t="n">
        <v>202660001253</v>
      </c>
      <c r="B145" s="3"/>
      <c r="C145" s="3"/>
      <c r="D145" s="3" t="n">
        <v>32</v>
      </c>
      <c r="E145" s="3" t="s">
        <v>74</v>
      </c>
      <c r="F145" s="3" t="n">
        <v>20</v>
      </c>
      <c r="G145" s="3" t="s">
        <v>50</v>
      </c>
      <c r="H145" s="4" t="n">
        <v>46253</v>
      </c>
      <c r="I145" s="5" t="n">
        <v>46260</v>
      </c>
      <c r="J145" s="4" t="n">
        <v>46276</v>
      </c>
      <c r="K145" s="4" t="n">
        <v>46276</v>
      </c>
      <c r="L145" s="3"/>
      <c r="M145" s="3"/>
      <c r="N145" s="3"/>
      <c r="O145" s="3" t="s">
        <v>75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 t="n">
        <v>21</v>
      </c>
      <c r="AC145" s="3" t="n">
        <v>1</v>
      </c>
      <c r="AD145" s="6" t="s">
        <v>46</v>
      </c>
      <c r="AE145" s="3" t="s">
        <v>55</v>
      </c>
      <c r="AF145" s="6" t="s">
        <v>46</v>
      </c>
      <c r="AG145" s="6" t="s">
        <v>46</v>
      </c>
      <c r="AH145" s="6" t="s">
        <v>46</v>
      </c>
      <c r="AI145" s="3"/>
      <c r="AJ145" s="3"/>
      <c r="AK145" s="3"/>
      <c r="AL145" s="7" t="n">
        <f aca="false">IF(A145="","",IF(COUNTIF(A145:A$2001,A145)=1,1,0))</f>
        <v>1</v>
      </c>
      <c r="AM145" s="7" t="n">
        <f aca="true">IF(I145="","",TODAY()-I145)</f>
        <v>30</v>
      </c>
      <c r="AN145" s="7" t="n">
        <f aca="false">IF(A145="","",IF(AND(E145&lt;&gt;"33 確認済",E145&lt;&gt;"36 送付中"),1,0))</f>
        <v>1</v>
      </c>
      <c r="AO145" s="7" t="n">
        <f aca="false">IF(A145="","",IF(AG145&lt;&gt;"",1,0))</f>
        <v>1</v>
      </c>
    </row>
    <row r="146" customFormat="false" ht="15" hidden="false" customHeight="false" outlineLevel="0" collapsed="false">
      <c r="A146" s="3" t="n">
        <v>202660001257</v>
      </c>
      <c r="B146" s="3"/>
      <c r="C146" s="3"/>
      <c r="D146" s="3" t="n">
        <v>32</v>
      </c>
      <c r="E146" s="3" t="s">
        <v>74</v>
      </c>
      <c r="F146" s="3"/>
      <c r="G146" s="3"/>
      <c r="H146" s="4" t="n">
        <v>46149</v>
      </c>
      <c r="I146" s="5" t="n">
        <v>46261</v>
      </c>
      <c r="J146" s="4" t="n">
        <v>46262</v>
      </c>
      <c r="K146" s="4" t="n">
        <v>46262</v>
      </c>
      <c r="L146" s="3"/>
      <c r="M146" s="3"/>
      <c r="N146" s="3"/>
      <c r="O146" s="3" t="s">
        <v>75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 t="n">
        <v>28</v>
      </c>
      <c r="AC146" s="3" t="n">
        <v>1</v>
      </c>
      <c r="AD146" s="6" t="s">
        <v>46</v>
      </c>
      <c r="AE146" s="3" t="s">
        <v>97</v>
      </c>
      <c r="AF146" s="6" t="s">
        <v>46</v>
      </c>
      <c r="AG146" s="3"/>
      <c r="AH146" s="6" t="s">
        <v>46</v>
      </c>
      <c r="AI146" s="3"/>
      <c r="AJ146" s="3"/>
      <c r="AK146" s="3"/>
      <c r="AL146" s="7" t="n">
        <f aca="false">IF(A146="","",IF(COUNTIF(A146:A$2001,A146)=1,1,0))</f>
        <v>1</v>
      </c>
      <c r="AM146" s="7" t="n">
        <f aca="true">IF(I146="","",TODAY()-I146)</f>
        <v>29</v>
      </c>
      <c r="AN146" s="7" t="n">
        <f aca="false">IF(A146="","",IF(AND(E146&lt;&gt;"33 確認済",E146&lt;&gt;"36 送付中"),1,0))</f>
        <v>1</v>
      </c>
      <c r="AO146" s="7" t="n">
        <f aca="false">IF(A146="","",IF(AG146&lt;&gt;"",1,0))</f>
        <v>0</v>
      </c>
    </row>
    <row r="147" customFormat="false" ht="15" hidden="false" customHeight="false" outlineLevel="0" collapsed="false">
      <c r="A147" s="3" t="n">
        <v>202660001258</v>
      </c>
      <c r="B147" s="3"/>
      <c r="C147" s="3"/>
      <c r="D147" s="3" t="n">
        <v>32</v>
      </c>
      <c r="E147" s="3" t="s">
        <v>74</v>
      </c>
      <c r="F147" s="3"/>
      <c r="G147" s="3"/>
      <c r="H147" s="4" t="n">
        <v>46216</v>
      </c>
      <c r="I147" s="5" t="n">
        <v>46261</v>
      </c>
      <c r="J147" s="4" t="n">
        <v>46268</v>
      </c>
      <c r="K147" s="4" t="n">
        <v>46268</v>
      </c>
      <c r="L147" s="3"/>
      <c r="M147" s="3"/>
      <c r="N147" s="3"/>
      <c r="O147" s="3" t="s">
        <v>75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 t="n">
        <v>28</v>
      </c>
      <c r="AC147" s="3" t="n">
        <v>1</v>
      </c>
      <c r="AD147" s="6" t="s">
        <v>46</v>
      </c>
      <c r="AE147" s="3" t="s">
        <v>97</v>
      </c>
      <c r="AF147" s="6" t="s">
        <v>46</v>
      </c>
      <c r="AG147" s="6" t="s">
        <v>46</v>
      </c>
      <c r="AH147" s="6" t="s">
        <v>46</v>
      </c>
      <c r="AI147" s="3"/>
      <c r="AJ147" s="3"/>
      <c r="AK147" s="3"/>
      <c r="AL147" s="7" t="n">
        <f aca="false">IF(A147="","",IF(COUNTIF(A147:A$2001,A147)=1,1,0))</f>
        <v>1</v>
      </c>
      <c r="AM147" s="7" t="n">
        <f aca="true">IF(I147="","",TODAY()-I147)</f>
        <v>29</v>
      </c>
      <c r="AN147" s="7" t="n">
        <f aca="false">IF(A147="","",IF(AND(E147&lt;&gt;"33 確認済",E147&lt;&gt;"36 送付中"),1,0))</f>
        <v>1</v>
      </c>
      <c r="AO147" s="7" t="n">
        <f aca="false">IF(A147="","",IF(AG147&lt;&gt;"",1,0))</f>
        <v>1</v>
      </c>
    </row>
    <row r="148" customFormat="false" ht="15" hidden="false" customHeight="false" outlineLevel="0" collapsed="false">
      <c r="A148" s="3" t="n">
        <v>202660001259</v>
      </c>
      <c r="B148" s="3"/>
      <c r="C148" s="3"/>
      <c r="D148" s="3" t="n">
        <v>33</v>
      </c>
      <c r="E148" s="3" t="s">
        <v>89</v>
      </c>
      <c r="F148" s="3" t="n">
        <v>20</v>
      </c>
      <c r="G148" s="3" t="s">
        <v>50</v>
      </c>
      <c r="H148" s="4" t="n">
        <v>46255</v>
      </c>
      <c r="I148" s="5" t="n">
        <v>46265</v>
      </c>
      <c r="J148" s="4" t="n">
        <v>46281</v>
      </c>
      <c r="K148" s="4" t="n">
        <v>46281</v>
      </c>
      <c r="L148" s="3"/>
      <c r="M148" s="3"/>
      <c r="N148" s="3"/>
      <c r="O148" s="3" t="s">
        <v>51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 t="n">
        <v>21</v>
      </c>
      <c r="AC148" s="3" t="n">
        <v>1</v>
      </c>
      <c r="AD148" s="6" t="s">
        <v>46</v>
      </c>
      <c r="AE148" s="3" t="s">
        <v>55</v>
      </c>
      <c r="AF148" s="6" t="s">
        <v>46</v>
      </c>
      <c r="AG148" s="6" t="s">
        <v>46</v>
      </c>
      <c r="AH148" s="6" t="s">
        <v>46</v>
      </c>
      <c r="AI148" s="3"/>
      <c r="AJ148" s="3"/>
      <c r="AK148" s="3"/>
      <c r="AL148" s="7" t="n">
        <f aca="false">IF(A148="","",IF(COUNTIF(A148:A$2001,A148)=1,1,0))</f>
        <v>1</v>
      </c>
      <c r="AM148" s="7" t="n">
        <f aca="true">IF(I148="","",TODAY()-I148)</f>
        <v>25</v>
      </c>
      <c r="AN148" s="7" t="n">
        <f aca="false">IF(A148="","",IF(AND(E148&lt;&gt;"33 確認済",E148&lt;&gt;"36 送付中"),1,0))</f>
        <v>0</v>
      </c>
      <c r="AO148" s="7" t="n">
        <f aca="false">IF(A148="","",IF(AG148&lt;&gt;"",1,0))</f>
        <v>1</v>
      </c>
    </row>
    <row r="149" customFormat="false" ht="15" hidden="false" customHeight="false" outlineLevel="0" collapsed="false">
      <c r="A149" s="3" t="n">
        <v>202660001260</v>
      </c>
      <c r="B149" s="3"/>
      <c r="C149" s="3"/>
      <c r="D149" s="3" t="n">
        <v>31</v>
      </c>
      <c r="E149" s="3" t="s">
        <v>41</v>
      </c>
      <c r="F149" s="3"/>
      <c r="G149" s="3"/>
      <c r="H149" s="4" t="n">
        <v>46254</v>
      </c>
      <c r="I149" s="5" t="n">
        <v>46255</v>
      </c>
      <c r="J149" s="4" t="n">
        <v>46265</v>
      </c>
      <c r="K149" s="4" t="n">
        <v>46280</v>
      </c>
      <c r="L149" s="3"/>
      <c r="M149" s="3"/>
      <c r="N149" s="3"/>
      <c r="O149" s="3" t="s">
        <v>56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 t="n">
        <v>50</v>
      </c>
      <c r="AC149" s="3" t="n">
        <v>0</v>
      </c>
      <c r="AD149" s="6" t="s">
        <v>43</v>
      </c>
      <c r="AE149" s="3" t="s">
        <v>59</v>
      </c>
      <c r="AF149" s="6" t="s">
        <v>43</v>
      </c>
      <c r="AG149" s="6" t="s">
        <v>43</v>
      </c>
      <c r="AH149" s="6" t="s">
        <v>43</v>
      </c>
      <c r="AI149" s="3"/>
      <c r="AJ149" s="3"/>
      <c r="AK149" s="3"/>
      <c r="AL149" s="7" t="n">
        <f aca="false">IF(A149="","",IF(COUNTIF(A149:A$2001,A149)=1,1,0))</f>
        <v>1</v>
      </c>
      <c r="AM149" s="7" t="n">
        <f aca="true">IF(I149="","",TODAY()-I149)</f>
        <v>35</v>
      </c>
      <c r="AN149" s="7" t="n">
        <f aca="false">IF(A149="","",IF(AND(E149&lt;&gt;"33 確認済",E149&lt;&gt;"36 送付中"),1,0))</f>
        <v>1</v>
      </c>
      <c r="AO149" s="7" t="n">
        <f aca="false">IF(A149="","",IF(AG149&lt;&gt;"",1,0))</f>
        <v>1</v>
      </c>
    </row>
    <row r="150" customFormat="false" ht="15" hidden="false" customHeight="false" outlineLevel="0" collapsed="false">
      <c r="A150" s="3" t="n">
        <v>202660001262</v>
      </c>
      <c r="B150" s="3"/>
      <c r="C150" s="3"/>
      <c r="D150" s="3" t="n">
        <v>32</v>
      </c>
      <c r="E150" s="3" t="s">
        <v>74</v>
      </c>
      <c r="F150" s="3"/>
      <c r="G150" s="3"/>
      <c r="H150" s="4" t="n">
        <v>46272</v>
      </c>
      <c r="I150" s="5" t="n">
        <v>46272</v>
      </c>
      <c r="J150" s="4" t="n">
        <v>46280</v>
      </c>
      <c r="K150" s="4" t="n">
        <v>46280</v>
      </c>
      <c r="L150" s="3"/>
      <c r="M150" s="3"/>
      <c r="N150" s="3"/>
      <c r="O150" s="3" t="s">
        <v>82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 t="n">
        <v>26</v>
      </c>
      <c r="AC150" s="3" t="n">
        <v>1</v>
      </c>
      <c r="AD150" s="6" t="s">
        <v>46</v>
      </c>
      <c r="AE150" s="3" t="s">
        <v>57</v>
      </c>
      <c r="AF150" s="6" t="s">
        <v>46</v>
      </c>
      <c r="AG150" s="6" t="s">
        <v>46</v>
      </c>
      <c r="AH150" s="3"/>
      <c r="AI150" s="3"/>
      <c r="AJ150" s="3"/>
      <c r="AK150" s="3"/>
      <c r="AL150" s="7" t="n">
        <f aca="false">IF(A150="","",IF(COUNTIF(A150:A$2001,A150)=1,1,0))</f>
        <v>1</v>
      </c>
      <c r="AM150" s="7" t="n">
        <f aca="true">IF(I150="","",TODAY()-I150)</f>
        <v>18</v>
      </c>
      <c r="AN150" s="7" t="n">
        <f aca="false">IF(A150="","",IF(AND(E150&lt;&gt;"33 確認済",E150&lt;&gt;"36 送付中"),1,0))</f>
        <v>1</v>
      </c>
      <c r="AO150" s="7" t="n">
        <f aca="false">IF(A150="","",IF(AG150&lt;&gt;"",1,0))</f>
        <v>1</v>
      </c>
    </row>
    <row r="151" customFormat="false" ht="15" hidden="false" customHeight="false" outlineLevel="0" collapsed="false">
      <c r="A151" s="3" t="n">
        <v>202660001265</v>
      </c>
      <c r="B151" s="3"/>
      <c r="C151" s="3"/>
      <c r="D151" s="3" t="n">
        <v>31</v>
      </c>
      <c r="E151" s="3" t="s">
        <v>41</v>
      </c>
      <c r="F151" s="3"/>
      <c r="G151" s="3"/>
      <c r="H151" s="4" t="n">
        <v>46197</v>
      </c>
      <c r="I151" s="5" t="n">
        <v>46237</v>
      </c>
      <c r="J151" s="4" t="n">
        <v>46280</v>
      </c>
      <c r="K151" s="4" t="n">
        <v>46280</v>
      </c>
      <c r="L151" s="3"/>
      <c r="M151" s="3"/>
      <c r="N151" s="3"/>
      <c r="O151" s="3" t="s">
        <v>56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 t="n">
        <v>51</v>
      </c>
      <c r="AC151" s="3" t="n">
        <v>0</v>
      </c>
      <c r="AD151" s="6" t="s">
        <v>43</v>
      </c>
      <c r="AE151" s="3" t="s">
        <v>72</v>
      </c>
      <c r="AF151" s="6" t="s">
        <v>43</v>
      </c>
      <c r="AG151" s="3"/>
      <c r="AH151" s="3"/>
      <c r="AI151" s="3"/>
      <c r="AJ151" s="3"/>
      <c r="AK151" s="3"/>
      <c r="AL151" s="7" t="n">
        <f aca="false">IF(A151="","",IF(COUNTIF(A151:A$2001,A151)=1,1,0))</f>
        <v>1</v>
      </c>
      <c r="AM151" s="7" t="n">
        <f aca="true">IF(I151="","",TODAY()-I151)</f>
        <v>53</v>
      </c>
      <c r="AN151" s="7" t="n">
        <f aca="false">IF(A151="","",IF(AND(E151&lt;&gt;"33 確認済",E151&lt;&gt;"36 送付中"),1,0))</f>
        <v>1</v>
      </c>
      <c r="AO151" s="7" t="n">
        <f aca="false">IF(A151="","",IF(AG151&lt;&gt;"",1,0))</f>
        <v>0</v>
      </c>
    </row>
    <row r="152" customFormat="false" ht="15" hidden="false" customHeight="false" outlineLevel="0" collapsed="false">
      <c r="A152" s="3" t="n">
        <v>202660001267</v>
      </c>
      <c r="B152" s="3"/>
      <c r="C152" s="3"/>
      <c r="D152" s="3" t="n">
        <v>30</v>
      </c>
      <c r="E152" s="3" t="s">
        <v>93</v>
      </c>
      <c r="F152" s="3"/>
      <c r="G152" s="3"/>
      <c r="H152" s="4" t="n">
        <v>46023</v>
      </c>
      <c r="I152" s="5" t="n">
        <v>46262</v>
      </c>
      <c r="J152" s="4" t="n">
        <v>46265</v>
      </c>
      <c r="K152" s="3"/>
      <c r="L152" s="3"/>
      <c r="M152" s="3"/>
      <c r="N152" s="3"/>
      <c r="O152" s="3" t="s">
        <v>94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 t="n">
        <v>51</v>
      </c>
      <c r="AC152" s="3" t="n">
        <v>0</v>
      </c>
      <c r="AD152" s="6" t="s">
        <v>43</v>
      </c>
      <c r="AE152" s="3" t="s">
        <v>72</v>
      </c>
      <c r="AF152" s="3"/>
      <c r="AG152" s="3"/>
      <c r="AH152" s="6" t="s">
        <v>43</v>
      </c>
      <c r="AI152" s="3"/>
      <c r="AJ152" s="3"/>
      <c r="AK152" s="3"/>
      <c r="AL152" s="7" t="n">
        <f aca="false">IF(A152="","",IF(COUNTIF(A152:A$2001,A152)=1,1,0))</f>
        <v>1</v>
      </c>
      <c r="AM152" s="7" t="n">
        <f aca="true">IF(I152="","",TODAY()-I152)</f>
        <v>28</v>
      </c>
      <c r="AN152" s="7" t="n">
        <f aca="false">IF(A152="","",IF(AND(E152&lt;&gt;"33 確認済",E152&lt;&gt;"36 送付中"),1,0))</f>
        <v>1</v>
      </c>
      <c r="AO152" s="7" t="n">
        <f aca="false">IF(A152="","",IF(AG152&lt;&gt;"",1,0))</f>
        <v>0</v>
      </c>
    </row>
    <row r="153" customFormat="false" ht="15" hidden="false" customHeight="false" outlineLevel="0" collapsed="false">
      <c r="A153" s="3" t="n">
        <v>202660001269</v>
      </c>
      <c r="B153" s="3"/>
      <c r="C153" s="3"/>
      <c r="D153" s="3" t="n">
        <v>40</v>
      </c>
      <c r="E153" s="3" t="s">
        <v>49</v>
      </c>
      <c r="F153" s="3" t="n">
        <v>20</v>
      </c>
      <c r="G153" s="3" t="s">
        <v>50</v>
      </c>
      <c r="H153" s="4" t="n">
        <v>46251</v>
      </c>
      <c r="I153" s="5" t="n">
        <v>46273</v>
      </c>
      <c r="J153" s="4" t="n">
        <v>46274</v>
      </c>
      <c r="K153" s="4" t="n">
        <v>46274</v>
      </c>
      <c r="L153" s="3"/>
      <c r="M153" s="3"/>
      <c r="N153" s="3"/>
      <c r="O153" s="3" t="s">
        <v>62</v>
      </c>
      <c r="P153" s="3"/>
      <c r="Q153" s="3"/>
      <c r="R153" s="3"/>
      <c r="S153" s="3"/>
      <c r="T153" s="3"/>
      <c r="U153" s="3"/>
      <c r="V153" s="3"/>
      <c r="W153" s="6" t="s">
        <v>63</v>
      </c>
      <c r="X153" s="3"/>
      <c r="Y153" s="3"/>
      <c r="Z153" s="3"/>
      <c r="AA153" s="3"/>
      <c r="AB153" s="3" t="n">
        <v>47</v>
      </c>
      <c r="AC153" s="3" t="n">
        <v>0</v>
      </c>
      <c r="AD153" s="6" t="s">
        <v>43</v>
      </c>
      <c r="AE153" s="3" t="s">
        <v>44</v>
      </c>
      <c r="AF153" s="6" t="s">
        <v>43</v>
      </c>
      <c r="AG153" s="6" t="s">
        <v>43</v>
      </c>
      <c r="AH153" s="3"/>
      <c r="AI153" s="3"/>
      <c r="AJ153" s="3"/>
      <c r="AK153" s="3"/>
      <c r="AL153" s="7" t="n">
        <f aca="false">IF(A153="","",IF(COUNTIF(A153:A$2001,A153)=1,1,0))</f>
        <v>1</v>
      </c>
      <c r="AM153" s="7" t="n">
        <f aca="true">IF(I153="","",TODAY()-I153)</f>
        <v>17</v>
      </c>
      <c r="AN153" s="7" t="n">
        <f aca="false">IF(A153="","",IF(AND(E153&lt;&gt;"33 確認済",E153&lt;&gt;"36 送付中"),1,0))</f>
        <v>1</v>
      </c>
      <c r="AO153" s="7" t="n">
        <f aca="false">IF(A153="","",IF(AG153&lt;&gt;"",1,0))</f>
        <v>1</v>
      </c>
    </row>
    <row r="154" customFormat="false" ht="15" hidden="false" customHeight="false" outlineLevel="0" collapsed="false">
      <c r="A154" s="3" t="n">
        <v>202660001270</v>
      </c>
      <c r="B154" s="3"/>
      <c r="C154" s="3"/>
      <c r="D154" s="3" t="n">
        <v>40</v>
      </c>
      <c r="E154" s="3" t="s">
        <v>49</v>
      </c>
      <c r="F154" s="3" t="n">
        <v>20</v>
      </c>
      <c r="G154" s="3" t="s">
        <v>50</v>
      </c>
      <c r="H154" s="4" t="n">
        <v>46255</v>
      </c>
      <c r="I154" s="5" t="n">
        <v>46262</v>
      </c>
      <c r="J154" s="4" t="n">
        <v>46269</v>
      </c>
      <c r="K154" s="4" t="n">
        <v>46269</v>
      </c>
      <c r="L154" s="3"/>
      <c r="M154" s="3"/>
      <c r="N154" s="3"/>
      <c r="O154" s="3" t="s">
        <v>67</v>
      </c>
      <c r="P154" s="6" t="s">
        <v>60</v>
      </c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 t="n">
        <v>21</v>
      </c>
      <c r="AC154" s="3" t="n">
        <v>1</v>
      </c>
      <c r="AD154" s="6" t="s">
        <v>46</v>
      </c>
      <c r="AE154" s="3" t="s">
        <v>55</v>
      </c>
      <c r="AF154" s="6" t="s">
        <v>46</v>
      </c>
      <c r="AG154" s="6" t="s">
        <v>46</v>
      </c>
      <c r="AH154" s="6" t="s">
        <v>46</v>
      </c>
      <c r="AI154" s="3"/>
      <c r="AJ154" s="3"/>
      <c r="AK154" s="3"/>
      <c r="AL154" s="7" t="n">
        <f aca="false">IF(A154="","",IF(COUNTIF(A154:A$2001,A154)=1,1,0))</f>
        <v>1</v>
      </c>
      <c r="AM154" s="7" t="n">
        <f aca="true">IF(I154="","",TODAY()-I154)</f>
        <v>28</v>
      </c>
      <c r="AN154" s="7" t="n">
        <f aca="false">IF(A154="","",IF(AND(E154&lt;&gt;"33 確認済",E154&lt;&gt;"36 送付中"),1,0))</f>
        <v>1</v>
      </c>
      <c r="AO154" s="7" t="n">
        <f aca="false">IF(A154="","",IF(AG154&lt;&gt;"",1,0))</f>
        <v>1</v>
      </c>
    </row>
    <row r="155" customFormat="false" ht="15" hidden="false" customHeight="false" outlineLevel="0" collapsed="false">
      <c r="A155" s="3" t="n">
        <v>202660001271</v>
      </c>
      <c r="B155" s="3"/>
      <c r="C155" s="3"/>
      <c r="D155" s="3" t="n">
        <v>40</v>
      </c>
      <c r="E155" s="3" t="s">
        <v>49</v>
      </c>
      <c r="F155" s="3" t="n">
        <v>20</v>
      </c>
      <c r="G155" s="3" t="s">
        <v>50</v>
      </c>
      <c r="H155" s="4" t="n">
        <v>46255</v>
      </c>
      <c r="I155" s="5" t="n">
        <v>46262</v>
      </c>
      <c r="J155" s="4" t="n">
        <v>46266</v>
      </c>
      <c r="K155" s="4" t="n">
        <v>46266</v>
      </c>
      <c r="L155" s="3"/>
      <c r="M155" s="3"/>
      <c r="N155" s="3"/>
      <c r="O155" s="3" t="s">
        <v>67</v>
      </c>
      <c r="P155" s="6" t="s">
        <v>60</v>
      </c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 t="n">
        <v>21</v>
      </c>
      <c r="AC155" s="3" t="n">
        <v>1</v>
      </c>
      <c r="AD155" s="6" t="s">
        <v>46</v>
      </c>
      <c r="AE155" s="3" t="s">
        <v>55</v>
      </c>
      <c r="AF155" s="6" t="s">
        <v>46</v>
      </c>
      <c r="AG155" s="6" t="s">
        <v>46</v>
      </c>
      <c r="AH155" s="6" t="s">
        <v>46</v>
      </c>
      <c r="AI155" s="3"/>
      <c r="AJ155" s="3"/>
      <c r="AK155" s="3"/>
      <c r="AL155" s="7" t="n">
        <f aca="false">IF(A155="","",IF(COUNTIF(A155:A$2001,A155)=1,1,0))</f>
        <v>1</v>
      </c>
      <c r="AM155" s="7" t="n">
        <f aca="true">IF(I155="","",TODAY()-I155)</f>
        <v>28</v>
      </c>
      <c r="AN155" s="7" t="n">
        <f aca="false">IF(A155="","",IF(AND(E155&lt;&gt;"33 確認済",E155&lt;&gt;"36 送付中"),1,0))</f>
        <v>1</v>
      </c>
      <c r="AO155" s="7" t="n">
        <f aca="false">IF(A155="","",IF(AG155&lt;&gt;"",1,0))</f>
        <v>1</v>
      </c>
    </row>
    <row r="156" customFormat="false" ht="15" hidden="false" customHeight="false" outlineLevel="0" collapsed="false">
      <c r="A156" s="3" t="n">
        <v>202660001274</v>
      </c>
      <c r="B156" s="3"/>
      <c r="C156" s="3"/>
      <c r="D156" s="3" t="n">
        <v>20</v>
      </c>
      <c r="E156" s="3" t="s">
        <v>69</v>
      </c>
      <c r="F156" s="3"/>
      <c r="G156" s="3"/>
      <c r="H156" s="4" t="n">
        <v>46204</v>
      </c>
      <c r="I156" s="5" t="n">
        <v>46262</v>
      </c>
      <c r="J156" s="3"/>
      <c r="K156" s="3"/>
      <c r="L156" s="3"/>
      <c r="M156" s="3"/>
      <c r="N156" s="3"/>
      <c r="O156" s="3" t="s">
        <v>67</v>
      </c>
      <c r="P156" s="6" t="s">
        <v>60</v>
      </c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 t="n">
        <v>99</v>
      </c>
      <c r="AC156" s="3" t="n">
        <v>0</v>
      </c>
      <c r="AD156" s="6" t="s">
        <v>43</v>
      </c>
      <c r="AE156" s="3" t="s">
        <v>61</v>
      </c>
      <c r="AF156" s="6" t="s">
        <v>43</v>
      </c>
      <c r="AG156" s="6" t="s">
        <v>43</v>
      </c>
      <c r="AH156" s="3"/>
      <c r="AI156" s="3"/>
      <c r="AJ156" s="3"/>
      <c r="AK156" s="3"/>
      <c r="AL156" s="7" t="n">
        <f aca="false">IF(A156="","",IF(COUNTIF(A156:A$2001,A156)=1,1,0))</f>
        <v>1</v>
      </c>
      <c r="AM156" s="7" t="n">
        <f aca="true">IF(I156="","",TODAY()-I156)</f>
        <v>28</v>
      </c>
      <c r="AN156" s="7" t="n">
        <f aca="false">IF(A156="","",IF(AND(E156&lt;&gt;"33 確認済",E156&lt;&gt;"36 送付中"),1,0))</f>
        <v>1</v>
      </c>
      <c r="AO156" s="7" t="n">
        <f aca="false">IF(A156="","",IF(AG156&lt;&gt;"",1,0))</f>
        <v>1</v>
      </c>
    </row>
    <row r="157" customFormat="false" ht="15" hidden="false" customHeight="false" outlineLevel="0" collapsed="false">
      <c r="A157" s="3" t="n">
        <v>202660001278</v>
      </c>
      <c r="B157" s="3"/>
      <c r="C157" s="3"/>
      <c r="D157" s="3" t="n">
        <v>40</v>
      </c>
      <c r="E157" s="3" t="s">
        <v>49</v>
      </c>
      <c r="F157" s="3" t="n">
        <v>20</v>
      </c>
      <c r="G157" s="3" t="s">
        <v>50</v>
      </c>
      <c r="H157" s="4" t="n">
        <v>46262</v>
      </c>
      <c r="I157" s="5" t="n">
        <v>46265</v>
      </c>
      <c r="J157" s="4" t="n">
        <v>46269</v>
      </c>
      <c r="K157" s="4" t="n">
        <v>46269</v>
      </c>
      <c r="L157" s="3"/>
      <c r="M157" s="3"/>
      <c r="N157" s="3"/>
      <c r="O157" s="3" t="s">
        <v>67</v>
      </c>
      <c r="P157" s="6" t="s">
        <v>60</v>
      </c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 t="n">
        <v>99</v>
      </c>
      <c r="AC157" s="3" t="n">
        <v>0</v>
      </c>
      <c r="AD157" s="6" t="s">
        <v>43</v>
      </c>
      <c r="AE157" s="3" t="s">
        <v>61</v>
      </c>
      <c r="AF157" s="6" t="s">
        <v>43</v>
      </c>
      <c r="AG157" s="3"/>
      <c r="AH157" s="6" t="s">
        <v>43</v>
      </c>
      <c r="AI157" s="3"/>
      <c r="AJ157" s="3"/>
      <c r="AK157" s="3"/>
      <c r="AL157" s="7" t="n">
        <f aca="false">IF(A157="","",IF(COUNTIF(A157:A$2001,A157)=1,1,0))</f>
        <v>1</v>
      </c>
      <c r="AM157" s="7" t="n">
        <f aca="true">IF(I157="","",TODAY()-I157)</f>
        <v>25</v>
      </c>
      <c r="AN157" s="7" t="n">
        <f aca="false">IF(A157="","",IF(AND(E157&lt;&gt;"33 確認済",E157&lt;&gt;"36 送付中"),1,0))</f>
        <v>1</v>
      </c>
      <c r="AO157" s="7" t="n">
        <f aca="false">IF(A157="","",IF(AG157&lt;&gt;"",1,0))</f>
        <v>0</v>
      </c>
    </row>
    <row r="158" customFormat="false" ht="15" hidden="false" customHeight="false" outlineLevel="0" collapsed="false">
      <c r="A158" s="3" t="n">
        <v>202660001281</v>
      </c>
      <c r="B158" s="3"/>
      <c r="C158" s="3"/>
      <c r="D158" s="3" t="n">
        <v>31</v>
      </c>
      <c r="E158" s="3" t="s">
        <v>41</v>
      </c>
      <c r="F158" s="3" t="n">
        <v>30</v>
      </c>
      <c r="G158" s="3" t="s">
        <v>77</v>
      </c>
      <c r="H158" s="4" t="n">
        <v>46170</v>
      </c>
      <c r="I158" s="5" t="n">
        <v>46265</v>
      </c>
      <c r="J158" s="4" t="n">
        <v>46268</v>
      </c>
      <c r="K158" s="4" t="n">
        <v>46268</v>
      </c>
      <c r="L158" s="3"/>
      <c r="M158" s="3"/>
      <c r="N158" s="3"/>
      <c r="O158" s="3" t="s">
        <v>98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 t="n">
        <v>48</v>
      </c>
      <c r="AC158" s="3" t="n">
        <v>0</v>
      </c>
      <c r="AD158" s="6" t="s">
        <v>43</v>
      </c>
      <c r="AE158" s="3" t="s">
        <v>96</v>
      </c>
      <c r="AF158" s="6" t="s">
        <v>43</v>
      </c>
      <c r="AG158" s="6" t="s">
        <v>43</v>
      </c>
      <c r="AH158" s="6" t="s">
        <v>43</v>
      </c>
      <c r="AI158" s="3"/>
      <c r="AJ158" s="3"/>
      <c r="AK158" s="3"/>
      <c r="AL158" s="7" t="n">
        <f aca="false">IF(A158="","",IF(COUNTIF(A158:A$2001,A158)=1,1,0))</f>
        <v>1</v>
      </c>
      <c r="AM158" s="7" t="n">
        <f aca="true">IF(I158="","",TODAY()-I158)</f>
        <v>25</v>
      </c>
      <c r="AN158" s="7" t="n">
        <f aca="false">IF(A158="","",IF(AND(E158&lt;&gt;"33 確認済",E158&lt;&gt;"36 送付中"),1,0))</f>
        <v>1</v>
      </c>
      <c r="AO158" s="7" t="n">
        <f aca="false">IF(A158="","",IF(AG158&lt;&gt;"",1,0))</f>
        <v>1</v>
      </c>
    </row>
    <row r="159" customFormat="false" ht="15" hidden="false" customHeight="false" outlineLevel="0" collapsed="false">
      <c r="A159" s="3" t="n">
        <v>202660001282</v>
      </c>
      <c r="B159" s="3"/>
      <c r="C159" s="3"/>
      <c r="D159" s="3" t="n">
        <v>36</v>
      </c>
      <c r="E159" s="3" t="s">
        <v>87</v>
      </c>
      <c r="F159" s="3"/>
      <c r="G159" s="3"/>
      <c r="H159" s="4" t="n">
        <v>46261</v>
      </c>
      <c r="I159" s="5" t="n">
        <v>46265</v>
      </c>
      <c r="J159" s="4" t="n">
        <v>46279</v>
      </c>
      <c r="K159" s="4" t="n">
        <v>46279</v>
      </c>
      <c r="L159" s="4" t="n">
        <v>46289</v>
      </c>
      <c r="M159" s="4" t="n">
        <v>46289</v>
      </c>
      <c r="N159" s="3"/>
      <c r="O159" s="3" t="s">
        <v>88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 t="n">
        <v>21</v>
      </c>
      <c r="AC159" s="3" t="n">
        <v>1</v>
      </c>
      <c r="AD159" s="6" t="s">
        <v>46</v>
      </c>
      <c r="AE159" s="3" t="s">
        <v>55</v>
      </c>
      <c r="AF159" s="6" t="s">
        <v>46</v>
      </c>
      <c r="AG159" s="6" t="s">
        <v>46</v>
      </c>
      <c r="AH159" s="6" t="s">
        <v>46</v>
      </c>
      <c r="AI159" s="3"/>
      <c r="AJ159" s="3"/>
      <c r="AK159" s="3"/>
      <c r="AL159" s="7" t="n">
        <f aca="false">IF(A159="","",IF(COUNTIF(A159:A$2001,A159)=1,1,0))</f>
        <v>1</v>
      </c>
      <c r="AM159" s="7" t="n">
        <f aca="true">IF(I159="","",TODAY()-I159)</f>
        <v>25</v>
      </c>
      <c r="AN159" s="7" t="n">
        <f aca="false">IF(A159="","",IF(AND(E159&lt;&gt;"33 確認済",E159&lt;&gt;"36 送付中"),1,0))</f>
        <v>0</v>
      </c>
      <c r="AO159" s="7" t="n">
        <f aca="false">IF(A159="","",IF(AG159&lt;&gt;"",1,0))</f>
        <v>1</v>
      </c>
    </row>
    <row r="160" customFormat="false" ht="15" hidden="false" customHeight="false" outlineLevel="0" collapsed="false">
      <c r="A160" s="3" t="n">
        <v>202660001290</v>
      </c>
      <c r="B160" s="3"/>
      <c r="C160" s="3"/>
      <c r="D160" s="3" t="n">
        <v>40</v>
      </c>
      <c r="E160" s="3" t="s">
        <v>49</v>
      </c>
      <c r="F160" s="3" t="n">
        <v>20</v>
      </c>
      <c r="G160" s="3" t="s">
        <v>50</v>
      </c>
      <c r="H160" s="3"/>
      <c r="I160" s="5" t="n">
        <v>46266</v>
      </c>
      <c r="J160" s="4" t="n">
        <v>46269</v>
      </c>
      <c r="K160" s="4" t="n">
        <v>46269</v>
      </c>
      <c r="L160" s="3"/>
      <c r="M160" s="3"/>
      <c r="N160" s="3"/>
      <c r="O160" s="3" t="s">
        <v>67</v>
      </c>
      <c r="P160" s="6" t="s">
        <v>60</v>
      </c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6" t="s">
        <v>43</v>
      </c>
      <c r="AE160" s="3"/>
      <c r="AF160" s="3"/>
      <c r="AG160" s="3"/>
      <c r="AH160" s="3"/>
      <c r="AI160" s="3"/>
      <c r="AJ160" s="6" t="s">
        <v>80</v>
      </c>
      <c r="AK160" s="3"/>
      <c r="AL160" s="7" t="n">
        <f aca="false">IF(A160="","",IF(COUNTIF(A160:A$2001,A160)=1,1,0))</f>
        <v>1</v>
      </c>
      <c r="AM160" s="7" t="n">
        <f aca="true">IF(I160="","",TODAY()-I160)</f>
        <v>24</v>
      </c>
      <c r="AN160" s="7" t="n">
        <f aca="false">IF(A160="","",IF(AND(E160&lt;&gt;"33 確認済",E160&lt;&gt;"36 送付中"),1,0))</f>
        <v>1</v>
      </c>
      <c r="AO160" s="7" t="n">
        <f aca="false">IF(A160="","",IF(AG160&lt;&gt;"",1,0))</f>
        <v>0</v>
      </c>
    </row>
    <row r="161" customFormat="false" ht="15" hidden="false" customHeight="false" outlineLevel="0" collapsed="false">
      <c r="A161" s="3" t="n">
        <v>202660001292</v>
      </c>
      <c r="B161" s="3"/>
      <c r="C161" s="3"/>
      <c r="D161" s="3" t="n">
        <v>30</v>
      </c>
      <c r="E161" s="3" t="s">
        <v>93</v>
      </c>
      <c r="F161" s="3"/>
      <c r="G161" s="3"/>
      <c r="H161" s="4" t="n">
        <v>46265</v>
      </c>
      <c r="I161" s="5" t="n">
        <v>46265</v>
      </c>
      <c r="J161" s="4" t="n">
        <v>46269</v>
      </c>
      <c r="K161" s="3"/>
      <c r="L161" s="3"/>
      <c r="M161" s="3"/>
      <c r="N161" s="3"/>
      <c r="O161" s="3" t="s">
        <v>94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 t="n">
        <v>50</v>
      </c>
      <c r="AC161" s="3" t="n">
        <v>0</v>
      </c>
      <c r="AD161" s="6" t="s">
        <v>43</v>
      </c>
      <c r="AE161" s="3" t="s">
        <v>59</v>
      </c>
      <c r="AF161" s="6" t="s">
        <v>43</v>
      </c>
      <c r="AG161" s="6" t="s">
        <v>43</v>
      </c>
      <c r="AH161" s="3"/>
      <c r="AI161" s="3"/>
      <c r="AJ161" s="3"/>
      <c r="AK161" s="3"/>
      <c r="AL161" s="7" t="n">
        <f aca="false">IF(A161="","",IF(COUNTIF(A161:A$2001,A161)=1,1,0))</f>
        <v>1</v>
      </c>
      <c r="AM161" s="7" t="n">
        <f aca="true">IF(I161="","",TODAY()-I161)</f>
        <v>25</v>
      </c>
      <c r="AN161" s="7" t="n">
        <f aca="false">IF(A161="","",IF(AND(E161&lt;&gt;"33 確認済",E161&lt;&gt;"36 送付中"),1,0))</f>
        <v>1</v>
      </c>
      <c r="AO161" s="7" t="n">
        <f aca="false">IF(A161="","",IF(AG161&lt;&gt;"",1,0))</f>
        <v>1</v>
      </c>
    </row>
    <row r="162" customFormat="false" ht="15" hidden="false" customHeight="false" outlineLevel="0" collapsed="false">
      <c r="A162" s="3" t="n">
        <v>202660001296</v>
      </c>
      <c r="B162" s="3"/>
      <c r="C162" s="3"/>
      <c r="D162" s="3" t="n">
        <v>40</v>
      </c>
      <c r="E162" s="3" t="s">
        <v>49</v>
      </c>
      <c r="F162" s="3" t="n">
        <v>20</v>
      </c>
      <c r="G162" s="3" t="s">
        <v>50</v>
      </c>
      <c r="H162" s="3"/>
      <c r="I162" s="5" t="n">
        <v>46266</v>
      </c>
      <c r="J162" s="4" t="n">
        <v>46272</v>
      </c>
      <c r="K162" s="4" t="n">
        <v>46272</v>
      </c>
      <c r="L162" s="3"/>
      <c r="M162" s="3"/>
      <c r="N162" s="3"/>
      <c r="O162" s="3" t="s">
        <v>67</v>
      </c>
      <c r="P162" s="6" t="s">
        <v>60</v>
      </c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6" t="s">
        <v>43</v>
      </c>
      <c r="AE162" s="3"/>
      <c r="AF162" s="3"/>
      <c r="AG162" s="3"/>
      <c r="AH162" s="3"/>
      <c r="AI162" s="3"/>
      <c r="AJ162" s="6" t="s">
        <v>80</v>
      </c>
      <c r="AK162" s="3"/>
      <c r="AL162" s="7" t="n">
        <f aca="false">IF(A162="","",IF(COUNTIF(A162:A$2001,A162)=1,1,0))</f>
        <v>1</v>
      </c>
      <c r="AM162" s="7" t="n">
        <f aca="true">IF(I162="","",TODAY()-I162)</f>
        <v>24</v>
      </c>
      <c r="AN162" s="7" t="n">
        <f aca="false">IF(A162="","",IF(AND(E162&lt;&gt;"33 確認済",E162&lt;&gt;"36 送付中"),1,0))</f>
        <v>1</v>
      </c>
      <c r="AO162" s="7" t="n">
        <f aca="false">IF(A162="","",IF(AG162&lt;&gt;"",1,0))</f>
        <v>0</v>
      </c>
    </row>
    <row r="163" customFormat="false" ht="15" hidden="false" customHeight="false" outlineLevel="0" collapsed="false">
      <c r="A163" s="3" t="n">
        <v>202660001298</v>
      </c>
      <c r="B163" s="3"/>
      <c r="C163" s="3"/>
      <c r="D163" s="3" t="n">
        <v>40</v>
      </c>
      <c r="E163" s="3" t="s">
        <v>49</v>
      </c>
      <c r="F163" s="3" t="n">
        <v>20</v>
      </c>
      <c r="G163" s="3" t="s">
        <v>50</v>
      </c>
      <c r="H163" s="4" t="n">
        <v>46263</v>
      </c>
      <c r="I163" s="5" t="n">
        <v>46267</v>
      </c>
      <c r="J163" s="4" t="n">
        <v>46269</v>
      </c>
      <c r="K163" s="4" t="n">
        <v>46269</v>
      </c>
      <c r="L163" s="3"/>
      <c r="M163" s="3"/>
      <c r="N163" s="3"/>
      <c r="O163" s="3" t="s">
        <v>67</v>
      </c>
      <c r="P163" s="6" t="s">
        <v>60</v>
      </c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 t="n">
        <v>26</v>
      </c>
      <c r="AC163" s="3" t="n">
        <v>1</v>
      </c>
      <c r="AD163" s="6" t="s">
        <v>46</v>
      </c>
      <c r="AE163" s="3" t="s">
        <v>57</v>
      </c>
      <c r="AF163" s="6" t="s">
        <v>46</v>
      </c>
      <c r="AG163" s="6" t="s">
        <v>46</v>
      </c>
      <c r="AH163" s="6" t="s">
        <v>46</v>
      </c>
      <c r="AI163" s="3"/>
      <c r="AJ163" s="3"/>
      <c r="AK163" s="3"/>
      <c r="AL163" s="7" t="n">
        <f aca="false">IF(A163="","",IF(COUNTIF(A163:A$2001,A163)=1,1,0))</f>
        <v>1</v>
      </c>
      <c r="AM163" s="7" t="n">
        <f aca="true">IF(I163="","",TODAY()-I163)</f>
        <v>23</v>
      </c>
      <c r="AN163" s="7" t="n">
        <f aca="false">IF(A163="","",IF(AND(E163&lt;&gt;"33 確認済",E163&lt;&gt;"36 送付中"),1,0))</f>
        <v>1</v>
      </c>
      <c r="AO163" s="7" t="n">
        <f aca="false">IF(A163="","",IF(AG163&lt;&gt;"",1,0))</f>
        <v>1</v>
      </c>
    </row>
    <row r="164" customFormat="false" ht="15" hidden="false" customHeight="false" outlineLevel="0" collapsed="false">
      <c r="A164" s="3" t="n">
        <v>202660001300</v>
      </c>
      <c r="B164" s="3"/>
      <c r="C164" s="3"/>
      <c r="D164" s="3" t="n">
        <v>20</v>
      </c>
      <c r="E164" s="3" t="s">
        <v>69</v>
      </c>
      <c r="F164" s="3" t="n">
        <v>20</v>
      </c>
      <c r="G164" s="3" t="s">
        <v>50</v>
      </c>
      <c r="H164" s="4" t="n">
        <v>46262</v>
      </c>
      <c r="I164" s="5" t="n">
        <v>46267</v>
      </c>
      <c r="J164" s="4" t="n">
        <v>46268</v>
      </c>
      <c r="K164" s="4" t="n">
        <v>46272</v>
      </c>
      <c r="L164" s="3"/>
      <c r="M164" s="3"/>
      <c r="N164" s="3"/>
      <c r="O164" s="3" t="s">
        <v>86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 t="n">
        <v>50</v>
      </c>
      <c r="AC164" s="3" t="n">
        <v>0</v>
      </c>
      <c r="AD164" s="6" t="s">
        <v>43</v>
      </c>
      <c r="AE164" s="3" t="s">
        <v>59</v>
      </c>
      <c r="AF164" s="6" t="s">
        <v>43</v>
      </c>
      <c r="AG164" s="6" t="s">
        <v>43</v>
      </c>
      <c r="AH164" s="6" t="s">
        <v>43</v>
      </c>
      <c r="AI164" s="3"/>
      <c r="AJ164" s="3"/>
      <c r="AK164" s="3"/>
      <c r="AL164" s="7" t="n">
        <f aca="false">IF(A164="","",IF(COUNTIF(A164:A$2001,A164)=1,1,0))</f>
        <v>1</v>
      </c>
      <c r="AM164" s="7" t="n">
        <f aca="true">IF(I164="","",TODAY()-I164)</f>
        <v>23</v>
      </c>
      <c r="AN164" s="7" t="n">
        <f aca="false">IF(A164="","",IF(AND(E164&lt;&gt;"33 確認済",E164&lt;&gt;"36 送付中"),1,0))</f>
        <v>1</v>
      </c>
      <c r="AO164" s="7" t="n">
        <f aca="false">IF(A164="","",IF(AG164&lt;&gt;"",1,0))</f>
        <v>1</v>
      </c>
    </row>
    <row r="165" customFormat="false" ht="15" hidden="false" customHeight="false" outlineLevel="0" collapsed="false">
      <c r="A165" s="3" t="n">
        <v>202660001305</v>
      </c>
      <c r="B165" s="3"/>
      <c r="C165" s="3"/>
      <c r="D165" s="3" t="n">
        <v>36</v>
      </c>
      <c r="E165" s="3" t="s">
        <v>87</v>
      </c>
      <c r="F165" s="3" t="n">
        <v>30</v>
      </c>
      <c r="G165" s="3" t="s">
        <v>77</v>
      </c>
      <c r="H165" s="4" t="n">
        <v>46265</v>
      </c>
      <c r="I165" s="5" t="n">
        <v>46268</v>
      </c>
      <c r="J165" s="4" t="n">
        <v>46276</v>
      </c>
      <c r="K165" s="4" t="n">
        <v>46276</v>
      </c>
      <c r="L165" s="4" t="n">
        <v>46289</v>
      </c>
      <c r="M165" s="4" t="n">
        <v>46289</v>
      </c>
      <c r="N165" s="3"/>
      <c r="O165" s="3" t="s">
        <v>88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 t="n">
        <v>21</v>
      </c>
      <c r="AC165" s="3" t="n">
        <v>1</v>
      </c>
      <c r="AD165" s="6" t="s">
        <v>46</v>
      </c>
      <c r="AE165" s="3" t="s">
        <v>55</v>
      </c>
      <c r="AF165" s="6" t="s">
        <v>46</v>
      </c>
      <c r="AG165" s="6" t="s">
        <v>46</v>
      </c>
      <c r="AH165" s="6" t="s">
        <v>46</v>
      </c>
      <c r="AI165" s="3"/>
      <c r="AJ165" s="3"/>
      <c r="AK165" s="3"/>
      <c r="AL165" s="7" t="n">
        <f aca="false">IF(A165="","",IF(COUNTIF(A165:A$2001,A165)=1,1,0))</f>
        <v>1</v>
      </c>
      <c r="AM165" s="7" t="n">
        <f aca="true">IF(I165="","",TODAY()-I165)</f>
        <v>22</v>
      </c>
      <c r="AN165" s="7" t="n">
        <f aca="false">IF(A165="","",IF(AND(E165&lt;&gt;"33 確認済",E165&lt;&gt;"36 送付中"),1,0))</f>
        <v>0</v>
      </c>
      <c r="AO165" s="7" t="n">
        <f aca="false">IF(A165="","",IF(AG165&lt;&gt;"",1,0))</f>
        <v>1</v>
      </c>
    </row>
    <row r="166" customFormat="false" ht="15" hidden="false" customHeight="false" outlineLevel="0" collapsed="false">
      <c r="A166" s="3" t="n">
        <v>202660001307</v>
      </c>
      <c r="B166" s="3"/>
      <c r="C166" s="3"/>
      <c r="D166" s="3" t="n">
        <v>31</v>
      </c>
      <c r="E166" s="3" t="s">
        <v>41</v>
      </c>
      <c r="F166" s="3"/>
      <c r="G166" s="3"/>
      <c r="H166" s="4" t="n">
        <v>43963</v>
      </c>
      <c r="I166" s="5" t="n">
        <v>46269</v>
      </c>
      <c r="J166" s="4" t="n">
        <v>46280</v>
      </c>
      <c r="K166" s="4" t="n">
        <v>46280</v>
      </c>
      <c r="L166" s="3"/>
      <c r="M166" s="3"/>
      <c r="N166" s="3"/>
      <c r="O166" s="3" t="s">
        <v>56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 t="n">
        <v>21</v>
      </c>
      <c r="AC166" s="3" t="n">
        <v>1</v>
      </c>
      <c r="AD166" s="6" t="s">
        <v>46</v>
      </c>
      <c r="AE166" s="3" t="s">
        <v>55</v>
      </c>
      <c r="AF166" s="6" t="s">
        <v>46</v>
      </c>
      <c r="AG166" s="3"/>
      <c r="AH166" s="3"/>
      <c r="AI166" s="3"/>
      <c r="AJ166" s="3"/>
      <c r="AK166" s="3"/>
      <c r="AL166" s="7" t="n">
        <f aca="false">IF(A166="","",IF(COUNTIF(A166:A$2001,A166)=1,1,0))</f>
        <v>1</v>
      </c>
      <c r="AM166" s="7" t="n">
        <f aca="true">IF(I166="","",TODAY()-I166)</f>
        <v>21</v>
      </c>
      <c r="AN166" s="7" t="n">
        <f aca="false">IF(A166="","",IF(AND(E166&lt;&gt;"33 確認済",E166&lt;&gt;"36 送付中"),1,0))</f>
        <v>1</v>
      </c>
      <c r="AO166" s="7" t="n">
        <f aca="false">IF(A166="","",IF(AG166&lt;&gt;"",1,0))</f>
        <v>0</v>
      </c>
    </row>
    <row r="167" customFormat="false" ht="15" hidden="false" customHeight="false" outlineLevel="0" collapsed="false">
      <c r="A167" s="3" t="n">
        <v>202660001310</v>
      </c>
      <c r="B167" s="3"/>
      <c r="C167" s="3"/>
      <c r="D167" s="3" t="n">
        <v>20</v>
      </c>
      <c r="E167" s="3" t="s">
        <v>69</v>
      </c>
      <c r="F167" s="3" t="n">
        <v>20</v>
      </c>
      <c r="G167" s="3" t="s">
        <v>50</v>
      </c>
      <c r="H167" s="4" t="n">
        <v>46263</v>
      </c>
      <c r="I167" s="5" t="n">
        <v>46268</v>
      </c>
      <c r="J167" s="4" t="n">
        <v>46275</v>
      </c>
      <c r="K167" s="4" t="n">
        <v>46275</v>
      </c>
      <c r="L167" s="3"/>
      <c r="M167" s="3"/>
      <c r="N167" s="3"/>
      <c r="O167" s="3" t="s">
        <v>86</v>
      </c>
      <c r="P167" s="3"/>
      <c r="Q167" s="3"/>
      <c r="R167" s="3"/>
      <c r="S167" s="3"/>
      <c r="T167" s="3"/>
      <c r="U167" s="3"/>
      <c r="V167" s="3"/>
      <c r="W167" s="6" t="s">
        <v>63</v>
      </c>
      <c r="X167" s="3"/>
      <c r="Y167" s="3"/>
      <c r="Z167" s="3"/>
      <c r="AA167" s="3"/>
      <c r="AB167" s="3" t="n">
        <v>21</v>
      </c>
      <c r="AC167" s="3" t="n">
        <v>1</v>
      </c>
      <c r="AD167" s="6" t="s">
        <v>46</v>
      </c>
      <c r="AE167" s="3" t="s">
        <v>55</v>
      </c>
      <c r="AF167" s="6" t="s">
        <v>46</v>
      </c>
      <c r="AG167" s="6" t="s">
        <v>46</v>
      </c>
      <c r="AH167" s="6" t="s">
        <v>46</v>
      </c>
      <c r="AI167" s="3"/>
      <c r="AJ167" s="3"/>
      <c r="AK167" s="3"/>
      <c r="AL167" s="7" t="n">
        <f aca="false">IF(A167="","",IF(COUNTIF(A167:A$2001,A167)=1,1,0))</f>
        <v>1</v>
      </c>
      <c r="AM167" s="7" t="n">
        <f aca="true">IF(I167="","",TODAY()-I167)</f>
        <v>22</v>
      </c>
      <c r="AN167" s="7" t="n">
        <f aca="false">IF(A167="","",IF(AND(E167&lt;&gt;"33 確認済",E167&lt;&gt;"36 送付中"),1,0))</f>
        <v>1</v>
      </c>
      <c r="AO167" s="7" t="n">
        <f aca="false">IF(A167="","",IF(AG167&lt;&gt;"",1,0))</f>
        <v>1</v>
      </c>
    </row>
    <row r="168" customFormat="false" ht="15" hidden="false" customHeight="false" outlineLevel="0" collapsed="false">
      <c r="A168" s="3" t="n">
        <v>202660001313</v>
      </c>
      <c r="B168" s="3"/>
      <c r="C168" s="3"/>
      <c r="D168" s="3" t="n">
        <v>31</v>
      </c>
      <c r="E168" s="3" t="s">
        <v>41</v>
      </c>
      <c r="F168" s="3"/>
      <c r="G168" s="3"/>
      <c r="H168" s="4" t="n">
        <v>46272</v>
      </c>
      <c r="I168" s="5" t="n">
        <v>46282</v>
      </c>
      <c r="J168" s="4" t="n">
        <v>46283</v>
      </c>
      <c r="K168" s="4" t="n">
        <v>46283</v>
      </c>
      <c r="L168" s="3"/>
      <c r="M168" s="3"/>
      <c r="N168" s="3"/>
      <c r="O168" s="3" t="s">
        <v>42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 t="n">
        <v>21</v>
      </c>
      <c r="AC168" s="3" t="n">
        <v>1</v>
      </c>
      <c r="AD168" s="6" t="s">
        <v>46</v>
      </c>
      <c r="AE168" s="3" t="s">
        <v>55</v>
      </c>
      <c r="AF168" s="6" t="s">
        <v>46</v>
      </c>
      <c r="AG168" s="6" t="s">
        <v>46</v>
      </c>
      <c r="AH168" s="6" t="s">
        <v>46</v>
      </c>
      <c r="AI168" s="3"/>
      <c r="AJ168" s="3"/>
      <c r="AK168" s="3"/>
      <c r="AL168" s="7" t="n">
        <f aca="false">IF(A168="","",IF(COUNTIF(A168:A$2001,A168)=1,1,0))</f>
        <v>1</v>
      </c>
      <c r="AM168" s="7" t="n">
        <f aca="true">IF(I168="","",TODAY()-I168)</f>
        <v>8</v>
      </c>
      <c r="AN168" s="7" t="n">
        <f aca="false">IF(A168="","",IF(AND(E168&lt;&gt;"33 確認済",E168&lt;&gt;"36 送付中"),1,0))</f>
        <v>1</v>
      </c>
      <c r="AO168" s="7" t="n">
        <f aca="false">IF(A168="","",IF(AG168&lt;&gt;"",1,0))</f>
        <v>1</v>
      </c>
    </row>
    <row r="169" customFormat="false" ht="15" hidden="false" customHeight="false" outlineLevel="0" collapsed="false">
      <c r="A169" s="3" t="n">
        <v>202660001314</v>
      </c>
      <c r="B169" s="3"/>
      <c r="C169" s="3"/>
      <c r="D169" s="3" t="n">
        <v>33</v>
      </c>
      <c r="E169" s="3" t="s">
        <v>89</v>
      </c>
      <c r="F169" s="3"/>
      <c r="G169" s="3"/>
      <c r="H169" s="4" t="n">
        <v>46263</v>
      </c>
      <c r="I169" s="5" t="n">
        <v>46268</v>
      </c>
      <c r="J169" s="4" t="n">
        <v>46280</v>
      </c>
      <c r="K169" s="4" t="n">
        <v>46280</v>
      </c>
      <c r="L169" s="3"/>
      <c r="M169" s="3"/>
      <c r="N169" s="3"/>
      <c r="O169" s="3" t="s">
        <v>51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 t="n">
        <v>21</v>
      </c>
      <c r="AC169" s="3" t="n">
        <v>1</v>
      </c>
      <c r="AD169" s="6" t="s">
        <v>46</v>
      </c>
      <c r="AE169" s="3" t="s">
        <v>55</v>
      </c>
      <c r="AF169" s="6" t="s">
        <v>46</v>
      </c>
      <c r="AG169" s="6" t="s">
        <v>46</v>
      </c>
      <c r="AH169" s="6" t="s">
        <v>46</v>
      </c>
      <c r="AI169" s="3"/>
      <c r="AJ169" s="3"/>
      <c r="AK169" s="3"/>
      <c r="AL169" s="7" t="n">
        <f aca="false">IF(A169="","",IF(COUNTIF(A169:A$2001,A169)=1,1,0))</f>
        <v>1</v>
      </c>
      <c r="AM169" s="7" t="n">
        <f aca="true">IF(I169="","",TODAY()-I169)</f>
        <v>22</v>
      </c>
      <c r="AN169" s="7" t="n">
        <f aca="false">IF(A169="","",IF(AND(E169&lt;&gt;"33 確認済",E169&lt;&gt;"36 送付中"),1,0))</f>
        <v>0</v>
      </c>
      <c r="AO169" s="7" t="n">
        <f aca="false">IF(A169="","",IF(AG169&lt;&gt;"",1,0))</f>
        <v>1</v>
      </c>
    </row>
    <row r="170" customFormat="false" ht="15" hidden="false" customHeight="false" outlineLevel="0" collapsed="false">
      <c r="A170" s="3" t="n">
        <v>202660001319</v>
      </c>
      <c r="B170" s="3"/>
      <c r="C170" s="3"/>
      <c r="D170" s="3" t="n">
        <v>32</v>
      </c>
      <c r="E170" s="3" t="s">
        <v>74</v>
      </c>
      <c r="F170" s="3"/>
      <c r="G170" s="3"/>
      <c r="H170" s="4" t="n">
        <v>46259</v>
      </c>
      <c r="I170" s="5" t="n">
        <v>46269</v>
      </c>
      <c r="J170" s="4" t="n">
        <v>46282</v>
      </c>
      <c r="K170" s="4" t="n">
        <v>46282</v>
      </c>
      <c r="L170" s="3"/>
      <c r="M170" s="3"/>
      <c r="N170" s="3"/>
      <c r="O170" s="3" t="s">
        <v>82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 t="n">
        <v>24</v>
      </c>
      <c r="AC170" s="3" t="n">
        <v>1</v>
      </c>
      <c r="AD170" s="6" t="s">
        <v>46</v>
      </c>
      <c r="AE170" s="3" t="s">
        <v>91</v>
      </c>
      <c r="AF170" s="6" t="s">
        <v>46</v>
      </c>
      <c r="AG170" s="3"/>
      <c r="AH170" s="3"/>
      <c r="AI170" s="3"/>
      <c r="AJ170" s="3"/>
      <c r="AK170" s="3"/>
      <c r="AL170" s="7" t="n">
        <f aca="false">IF(A170="","",IF(COUNTIF(A170:A$2001,A170)=1,1,0))</f>
        <v>1</v>
      </c>
      <c r="AM170" s="7" t="n">
        <f aca="true">IF(I170="","",TODAY()-I170)</f>
        <v>21</v>
      </c>
      <c r="AN170" s="7" t="n">
        <f aca="false">IF(A170="","",IF(AND(E170&lt;&gt;"33 確認済",E170&lt;&gt;"36 送付中"),1,0))</f>
        <v>1</v>
      </c>
      <c r="AO170" s="7" t="n">
        <f aca="false">IF(A170="","",IF(AG170&lt;&gt;"",1,0))</f>
        <v>0</v>
      </c>
    </row>
    <row r="171" customFormat="false" ht="15" hidden="false" customHeight="false" outlineLevel="0" collapsed="false">
      <c r="A171" s="3" t="n">
        <v>202660001320</v>
      </c>
      <c r="B171" s="3"/>
      <c r="C171" s="3"/>
      <c r="D171" s="3" t="n">
        <v>31</v>
      </c>
      <c r="E171" s="3" t="s">
        <v>41</v>
      </c>
      <c r="F171" s="3"/>
      <c r="G171" s="3"/>
      <c r="H171" s="4" t="n">
        <v>46266</v>
      </c>
      <c r="I171" s="5" t="n">
        <v>46269</v>
      </c>
      <c r="J171" s="4" t="n">
        <v>46289</v>
      </c>
      <c r="K171" s="4" t="n">
        <v>46289</v>
      </c>
      <c r="L171" s="3"/>
      <c r="M171" s="3"/>
      <c r="N171" s="3"/>
      <c r="O171" s="3" t="s">
        <v>56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 t="n">
        <v>51</v>
      </c>
      <c r="AC171" s="3" t="n">
        <v>0</v>
      </c>
      <c r="AD171" s="6" t="s">
        <v>43</v>
      </c>
      <c r="AE171" s="3" t="s">
        <v>72</v>
      </c>
      <c r="AF171" s="6" t="s">
        <v>43</v>
      </c>
      <c r="AG171" s="6" t="s">
        <v>43</v>
      </c>
      <c r="AH171" s="3"/>
      <c r="AI171" s="3"/>
      <c r="AJ171" s="3"/>
      <c r="AK171" s="3"/>
      <c r="AL171" s="7" t="n">
        <f aca="false">IF(A171="","",IF(COUNTIF(A171:A$2001,A171)=1,1,0))</f>
        <v>1</v>
      </c>
      <c r="AM171" s="7" t="n">
        <f aca="true">IF(I171="","",TODAY()-I171)</f>
        <v>21</v>
      </c>
      <c r="AN171" s="7" t="n">
        <f aca="false">IF(A171="","",IF(AND(E171&lt;&gt;"33 確認済",E171&lt;&gt;"36 送付中"),1,0))</f>
        <v>1</v>
      </c>
      <c r="AO171" s="7" t="n">
        <f aca="false">IF(A171="","",IF(AG171&lt;&gt;"",1,0))</f>
        <v>1</v>
      </c>
    </row>
    <row r="172" customFormat="false" ht="15" hidden="false" customHeight="false" outlineLevel="0" collapsed="false">
      <c r="A172" s="3" t="n">
        <v>202660001321</v>
      </c>
      <c r="B172" s="3"/>
      <c r="C172" s="3"/>
      <c r="D172" s="3" t="n">
        <v>32</v>
      </c>
      <c r="E172" s="3" t="s">
        <v>74</v>
      </c>
      <c r="F172" s="3" t="n">
        <v>30</v>
      </c>
      <c r="G172" s="3" t="s">
        <v>77</v>
      </c>
      <c r="H172" s="4" t="n">
        <v>46259</v>
      </c>
      <c r="I172" s="5" t="n">
        <v>46269</v>
      </c>
      <c r="J172" s="4" t="n">
        <v>46272</v>
      </c>
      <c r="K172" s="4" t="n">
        <v>46272</v>
      </c>
      <c r="L172" s="3"/>
      <c r="M172" s="3"/>
      <c r="N172" s="3"/>
      <c r="O172" s="3" t="s">
        <v>75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 t="n">
        <v>23</v>
      </c>
      <c r="AC172" s="3" t="n">
        <v>1</v>
      </c>
      <c r="AD172" s="6" t="s">
        <v>46</v>
      </c>
      <c r="AE172" s="3" t="s">
        <v>52</v>
      </c>
      <c r="AF172" s="3"/>
      <c r="AG172" s="3"/>
      <c r="AH172" s="3"/>
      <c r="AI172" s="3"/>
      <c r="AJ172" s="3"/>
      <c r="AK172" s="3"/>
      <c r="AL172" s="7" t="n">
        <f aca="false">IF(A172="","",IF(COUNTIF(A172:A$2001,A172)=1,1,0))</f>
        <v>0</v>
      </c>
      <c r="AM172" s="7" t="n">
        <f aca="true">IF(I172="","",TODAY()-I172)</f>
        <v>21</v>
      </c>
      <c r="AN172" s="7" t="n">
        <f aca="false">IF(A172="","",IF(AND(E172&lt;&gt;"33 確認済",E172&lt;&gt;"36 送付中"),1,0))</f>
        <v>1</v>
      </c>
      <c r="AO172" s="7" t="n">
        <f aca="false">IF(A172="","",IF(AG172&lt;&gt;"",1,0))</f>
        <v>0</v>
      </c>
    </row>
    <row r="173" customFormat="false" ht="15" hidden="false" customHeight="false" outlineLevel="0" collapsed="false">
      <c r="A173" s="3" t="n">
        <v>202660001321</v>
      </c>
      <c r="B173" s="3"/>
      <c r="C173" s="3"/>
      <c r="D173" s="3" t="n">
        <v>32</v>
      </c>
      <c r="E173" s="3" t="s">
        <v>74</v>
      </c>
      <c r="F173" s="3" t="n">
        <v>30</v>
      </c>
      <c r="G173" s="3" t="s">
        <v>77</v>
      </c>
      <c r="H173" s="4" t="n">
        <v>46259</v>
      </c>
      <c r="I173" s="5" t="n">
        <v>46269</v>
      </c>
      <c r="J173" s="4" t="n">
        <v>46272</v>
      </c>
      <c r="K173" s="4" t="n">
        <v>46272</v>
      </c>
      <c r="L173" s="3"/>
      <c r="M173" s="3"/>
      <c r="N173" s="3"/>
      <c r="O173" s="3" t="s">
        <v>75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 t="n">
        <v>23</v>
      </c>
      <c r="AC173" s="3" t="n">
        <v>1</v>
      </c>
      <c r="AD173" s="6" t="s">
        <v>46</v>
      </c>
      <c r="AE173" s="3" t="s">
        <v>53</v>
      </c>
      <c r="AF173" s="3"/>
      <c r="AG173" s="3"/>
      <c r="AH173" s="3"/>
      <c r="AI173" s="3"/>
      <c r="AJ173" s="3"/>
      <c r="AK173" s="3"/>
      <c r="AL173" s="7" t="n">
        <f aca="false">IF(A173="","",IF(COUNTIF(A173:A$2001,A173)=1,1,0))</f>
        <v>1</v>
      </c>
      <c r="AM173" s="7" t="n">
        <f aca="true">IF(I173="","",TODAY()-I173)</f>
        <v>21</v>
      </c>
      <c r="AN173" s="7" t="n">
        <f aca="false">IF(A173="","",IF(AND(E173&lt;&gt;"33 確認済",E173&lt;&gt;"36 送付中"),1,0))</f>
        <v>1</v>
      </c>
      <c r="AO173" s="7" t="n">
        <f aca="false">IF(A173="","",IF(AG173&lt;&gt;"",1,0))</f>
        <v>0</v>
      </c>
    </row>
    <row r="174" customFormat="false" ht="15" hidden="false" customHeight="false" outlineLevel="0" collapsed="false">
      <c r="A174" s="3" t="n">
        <v>202660001323</v>
      </c>
      <c r="B174" s="3"/>
      <c r="C174" s="3"/>
      <c r="D174" s="3" t="n">
        <v>32</v>
      </c>
      <c r="E174" s="3" t="s">
        <v>74</v>
      </c>
      <c r="F174" s="3"/>
      <c r="G174" s="3"/>
      <c r="H174" s="4" t="n">
        <v>46254</v>
      </c>
      <c r="I174" s="5" t="n">
        <v>46272</v>
      </c>
      <c r="J174" s="4" t="n">
        <v>46276</v>
      </c>
      <c r="K174" s="4" t="n">
        <v>46276</v>
      </c>
      <c r="L174" s="3"/>
      <c r="M174" s="3"/>
      <c r="N174" s="3"/>
      <c r="O174" s="3" t="s">
        <v>75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 t="n">
        <v>28</v>
      </c>
      <c r="AC174" s="3" t="n">
        <v>3</v>
      </c>
      <c r="AD174" s="6" t="s">
        <v>43</v>
      </c>
      <c r="AE174" s="3"/>
      <c r="AF174" s="3"/>
      <c r="AG174" s="3"/>
      <c r="AH174" s="6" t="s">
        <v>46</v>
      </c>
      <c r="AI174" s="3"/>
      <c r="AJ174" s="3"/>
      <c r="AK174" s="3"/>
      <c r="AL174" s="7" t="n">
        <f aca="false">IF(A174="","",IF(COUNTIF(A174:A$2001,A174)=1,1,0))</f>
        <v>1</v>
      </c>
      <c r="AM174" s="7" t="n">
        <f aca="true">IF(I174="","",TODAY()-I174)</f>
        <v>18</v>
      </c>
      <c r="AN174" s="7" t="n">
        <f aca="false">IF(A174="","",IF(AND(E174&lt;&gt;"33 確認済",E174&lt;&gt;"36 送付中"),1,0))</f>
        <v>1</v>
      </c>
      <c r="AO174" s="7" t="n">
        <f aca="false">IF(A174="","",IF(AG174&lt;&gt;"",1,0))</f>
        <v>0</v>
      </c>
    </row>
    <row r="175" customFormat="false" ht="15" hidden="false" customHeight="false" outlineLevel="0" collapsed="false">
      <c r="A175" s="3" t="n">
        <v>202660001327</v>
      </c>
      <c r="B175" s="3"/>
      <c r="C175" s="3"/>
      <c r="D175" s="3" t="n">
        <v>32</v>
      </c>
      <c r="E175" s="3" t="s">
        <v>74</v>
      </c>
      <c r="F175" s="3"/>
      <c r="G175" s="3"/>
      <c r="H175" s="4" t="n">
        <v>46271</v>
      </c>
      <c r="I175" s="5" t="n">
        <v>46276</v>
      </c>
      <c r="J175" s="4" t="n">
        <v>46279</v>
      </c>
      <c r="K175" s="4" t="n">
        <v>46279</v>
      </c>
      <c r="L175" s="3"/>
      <c r="M175" s="3"/>
      <c r="N175" s="3"/>
      <c r="O175" s="3" t="s">
        <v>75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 t="n">
        <v>21</v>
      </c>
      <c r="AC175" s="3" t="n">
        <v>1</v>
      </c>
      <c r="AD175" s="6" t="s">
        <v>46</v>
      </c>
      <c r="AE175" s="3" t="s">
        <v>55</v>
      </c>
      <c r="AF175" s="6" t="s">
        <v>46</v>
      </c>
      <c r="AG175" s="6" t="s">
        <v>46</v>
      </c>
      <c r="AH175" s="6" t="s">
        <v>46</v>
      </c>
      <c r="AI175" s="3"/>
      <c r="AJ175" s="3"/>
      <c r="AK175" s="3"/>
      <c r="AL175" s="7" t="n">
        <f aca="false">IF(A175="","",IF(COUNTIF(A175:A$2001,A175)=1,1,0))</f>
        <v>1</v>
      </c>
      <c r="AM175" s="7" t="n">
        <f aca="true">IF(I175="","",TODAY()-I175)</f>
        <v>14</v>
      </c>
      <c r="AN175" s="7" t="n">
        <f aca="false">IF(A175="","",IF(AND(E175&lt;&gt;"33 確認済",E175&lt;&gt;"36 送付中"),1,0))</f>
        <v>1</v>
      </c>
      <c r="AO175" s="7" t="n">
        <f aca="false">IF(A175="","",IF(AG175&lt;&gt;"",1,0))</f>
        <v>1</v>
      </c>
    </row>
    <row r="176" customFormat="false" ht="15" hidden="false" customHeight="false" outlineLevel="0" collapsed="false">
      <c r="A176" s="3" t="n">
        <v>202660001328</v>
      </c>
      <c r="B176" s="3"/>
      <c r="C176" s="3"/>
      <c r="D176" s="3" t="n">
        <v>32</v>
      </c>
      <c r="E176" s="3" t="s">
        <v>74</v>
      </c>
      <c r="F176" s="3"/>
      <c r="G176" s="3"/>
      <c r="H176" s="4" t="n">
        <v>46246</v>
      </c>
      <c r="I176" s="5" t="n">
        <v>46273</v>
      </c>
      <c r="J176" s="4" t="n">
        <v>46273</v>
      </c>
      <c r="K176" s="4" t="n">
        <v>46273</v>
      </c>
      <c r="L176" s="3"/>
      <c r="M176" s="3"/>
      <c r="N176" s="3"/>
      <c r="O176" s="3" t="s">
        <v>75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 t="n">
        <v>23</v>
      </c>
      <c r="AC176" s="3" t="n">
        <v>1</v>
      </c>
      <c r="AD176" s="6" t="s">
        <v>46</v>
      </c>
      <c r="AE176" s="3" t="s">
        <v>52</v>
      </c>
      <c r="AF176" s="3"/>
      <c r="AG176" s="3"/>
      <c r="AH176" s="3"/>
      <c r="AI176" s="3"/>
      <c r="AJ176" s="3"/>
      <c r="AK176" s="3"/>
      <c r="AL176" s="7" t="n">
        <f aca="false">IF(A176="","",IF(COUNTIF(A176:A$2001,A176)=1,1,0))</f>
        <v>0</v>
      </c>
      <c r="AM176" s="7" t="n">
        <f aca="true">IF(I176="","",TODAY()-I176)</f>
        <v>17</v>
      </c>
      <c r="AN176" s="7" t="n">
        <f aca="false">IF(A176="","",IF(AND(E176&lt;&gt;"33 確認済",E176&lt;&gt;"36 送付中"),1,0))</f>
        <v>1</v>
      </c>
      <c r="AO176" s="7" t="n">
        <f aca="false">IF(A176="","",IF(AG176&lt;&gt;"",1,0))</f>
        <v>0</v>
      </c>
    </row>
    <row r="177" customFormat="false" ht="15" hidden="false" customHeight="false" outlineLevel="0" collapsed="false">
      <c r="A177" s="3" t="n">
        <v>202660001328</v>
      </c>
      <c r="B177" s="3"/>
      <c r="C177" s="3"/>
      <c r="D177" s="3" t="n">
        <v>32</v>
      </c>
      <c r="E177" s="3" t="s">
        <v>74</v>
      </c>
      <c r="F177" s="3"/>
      <c r="G177" s="3"/>
      <c r="H177" s="4" t="n">
        <v>46246</v>
      </c>
      <c r="I177" s="5" t="n">
        <v>46273</v>
      </c>
      <c r="J177" s="4" t="n">
        <v>46273</v>
      </c>
      <c r="K177" s="4" t="n">
        <v>46273</v>
      </c>
      <c r="L177" s="3"/>
      <c r="M177" s="3"/>
      <c r="N177" s="3"/>
      <c r="O177" s="3" t="s">
        <v>75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 t="n">
        <v>23</v>
      </c>
      <c r="AC177" s="3" t="n">
        <v>1</v>
      </c>
      <c r="AD177" s="6" t="s">
        <v>46</v>
      </c>
      <c r="AE177" s="3" t="s">
        <v>53</v>
      </c>
      <c r="AF177" s="3"/>
      <c r="AG177" s="3"/>
      <c r="AH177" s="3"/>
      <c r="AI177" s="3"/>
      <c r="AJ177" s="3"/>
      <c r="AK177" s="3"/>
      <c r="AL177" s="7" t="n">
        <f aca="false">IF(A177="","",IF(COUNTIF(A177:A$2001,A177)=1,1,0))</f>
        <v>1</v>
      </c>
      <c r="AM177" s="7" t="n">
        <f aca="true">IF(I177="","",TODAY()-I177)</f>
        <v>17</v>
      </c>
      <c r="AN177" s="7" t="n">
        <f aca="false">IF(A177="","",IF(AND(E177&lt;&gt;"33 確認済",E177&lt;&gt;"36 送付中"),1,0))</f>
        <v>1</v>
      </c>
      <c r="AO177" s="7" t="n">
        <f aca="false">IF(A177="","",IF(AG177&lt;&gt;"",1,0))</f>
        <v>0</v>
      </c>
    </row>
    <row r="178" customFormat="false" ht="15" hidden="false" customHeight="false" outlineLevel="0" collapsed="false">
      <c r="A178" s="3" t="n">
        <v>202660001329</v>
      </c>
      <c r="B178" s="3"/>
      <c r="C178" s="3"/>
      <c r="D178" s="3" t="n">
        <v>33</v>
      </c>
      <c r="E178" s="3" t="s">
        <v>89</v>
      </c>
      <c r="F178" s="3"/>
      <c r="G178" s="3"/>
      <c r="H178" s="4" t="n">
        <v>46174</v>
      </c>
      <c r="I178" s="5" t="n">
        <v>46273</v>
      </c>
      <c r="J178" s="4" t="n">
        <v>46275</v>
      </c>
      <c r="K178" s="4" t="n">
        <v>46275</v>
      </c>
      <c r="L178" s="3"/>
      <c r="M178" s="3"/>
      <c r="N178" s="3"/>
      <c r="O178" s="3" t="s">
        <v>51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 t="n">
        <v>47</v>
      </c>
      <c r="AC178" s="3" t="n">
        <v>0</v>
      </c>
      <c r="AD178" s="6" t="s">
        <v>43</v>
      </c>
      <c r="AE178" s="3" t="s">
        <v>44</v>
      </c>
      <c r="AF178" s="6" t="s">
        <v>43</v>
      </c>
      <c r="AG178" s="6" t="s">
        <v>43</v>
      </c>
      <c r="AH178" s="6" t="s">
        <v>43</v>
      </c>
      <c r="AI178" s="3"/>
      <c r="AJ178" s="3"/>
      <c r="AK178" s="3"/>
      <c r="AL178" s="7" t="n">
        <f aca="false">IF(A178="","",IF(COUNTIF(A178:A$2001,A178)=1,1,0))</f>
        <v>1</v>
      </c>
      <c r="AM178" s="7" t="n">
        <f aca="true">IF(I178="","",TODAY()-I178)</f>
        <v>17</v>
      </c>
      <c r="AN178" s="7" t="n">
        <f aca="false">IF(A178="","",IF(AND(E178&lt;&gt;"33 確認済",E178&lt;&gt;"36 送付中"),1,0))</f>
        <v>0</v>
      </c>
      <c r="AO178" s="7" t="n">
        <f aca="false">IF(A178="","",IF(AG178&lt;&gt;"",1,0))</f>
        <v>1</v>
      </c>
    </row>
    <row r="179" customFormat="false" ht="15" hidden="false" customHeight="false" outlineLevel="0" collapsed="false">
      <c r="A179" s="3" t="n">
        <v>202660001330</v>
      </c>
      <c r="B179" s="3"/>
      <c r="C179" s="3"/>
      <c r="D179" s="3" t="n">
        <v>33</v>
      </c>
      <c r="E179" s="3" t="s">
        <v>89</v>
      </c>
      <c r="F179" s="3"/>
      <c r="G179" s="3"/>
      <c r="H179" s="4" t="n">
        <v>46265</v>
      </c>
      <c r="I179" s="5" t="n">
        <v>46273</v>
      </c>
      <c r="J179" s="4" t="n">
        <v>46279</v>
      </c>
      <c r="K179" s="4" t="n">
        <v>46279</v>
      </c>
      <c r="L179" s="3"/>
      <c r="M179" s="3"/>
      <c r="N179" s="3"/>
      <c r="O179" s="3" t="s">
        <v>51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 t="n">
        <v>99</v>
      </c>
      <c r="AC179" s="3" t="n">
        <v>1</v>
      </c>
      <c r="AD179" s="6" t="s">
        <v>46</v>
      </c>
      <c r="AE179" s="3" t="s">
        <v>61</v>
      </c>
      <c r="AF179" s="6" t="s">
        <v>46</v>
      </c>
      <c r="AG179" s="6" t="s">
        <v>46</v>
      </c>
      <c r="AH179" s="3"/>
      <c r="AI179" s="3"/>
      <c r="AJ179" s="3"/>
      <c r="AK179" s="3"/>
      <c r="AL179" s="7" t="n">
        <f aca="false">IF(A179="","",IF(COUNTIF(A179:A$2001,A179)=1,1,0))</f>
        <v>1</v>
      </c>
      <c r="AM179" s="7" t="n">
        <f aca="true">IF(I179="","",TODAY()-I179)</f>
        <v>17</v>
      </c>
      <c r="AN179" s="7" t="n">
        <f aca="false">IF(A179="","",IF(AND(E179&lt;&gt;"33 確認済",E179&lt;&gt;"36 送付中"),1,0))</f>
        <v>0</v>
      </c>
      <c r="AO179" s="7" t="n">
        <f aca="false">IF(A179="","",IF(AG179&lt;&gt;"",1,0))</f>
        <v>1</v>
      </c>
    </row>
    <row r="180" customFormat="false" ht="15" hidden="false" customHeight="false" outlineLevel="0" collapsed="false">
      <c r="A180" s="3" t="n">
        <v>202660001331</v>
      </c>
      <c r="B180" s="3"/>
      <c r="C180" s="3"/>
      <c r="D180" s="3" t="n">
        <v>32</v>
      </c>
      <c r="E180" s="3" t="s">
        <v>74</v>
      </c>
      <c r="F180" s="3" t="n">
        <v>30</v>
      </c>
      <c r="G180" s="3" t="s">
        <v>77</v>
      </c>
      <c r="H180" s="4" t="n">
        <v>46261</v>
      </c>
      <c r="I180" s="5" t="n">
        <v>46273</v>
      </c>
      <c r="J180" s="4" t="n">
        <v>46279</v>
      </c>
      <c r="K180" s="4" t="n">
        <v>46279</v>
      </c>
      <c r="L180" s="3"/>
      <c r="M180" s="3"/>
      <c r="N180" s="3"/>
      <c r="O180" s="3" t="s">
        <v>75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 t="n">
        <v>21</v>
      </c>
      <c r="AC180" s="3" t="n">
        <v>1</v>
      </c>
      <c r="AD180" s="6" t="s">
        <v>46</v>
      </c>
      <c r="AE180" s="3" t="s">
        <v>55</v>
      </c>
      <c r="AF180" s="6" t="s">
        <v>46</v>
      </c>
      <c r="AG180" s="6" t="s">
        <v>46</v>
      </c>
      <c r="AH180" s="6" t="s">
        <v>46</v>
      </c>
      <c r="AI180" s="3"/>
      <c r="AJ180" s="3"/>
      <c r="AK180" s="3"/>
      <c r="AL180" s="7" t="n">
        <f aca="false">IF(A180="","",IF(COUNTIF(A180:A$2001,A180)=1,1,0))</f>
        <v>1</v>
      </c>
      <c r="AM180" s="7" t="n">
        <f aca="true">IF(I180="","",TODAY()-I180)</f>
        <v>17</v>
      </c>
      <c r="AN180" s="7" t="n">
        <f aca="false">IF(A180="","",IF(AND(E180&lt;&gt;"33 確認済",E180&lt;&gt;"36 送付中"),1,0))</f>
        <v>1</v>
      </c>
      <c r="AO180" s="7" t="n">
        <f aca="false">IF(A180="","",IF(AG180&lt;&gt;"",1,0))</f>
        <v>1</v>
      </c>
    </row>
    <row r="181" customFormat="false" ht="15" hidden="false" customHeight="false" outlineLevel="0" collapsed="false">
      <c r="A181" s="3" t="n">
        <v>202660001333</v>
      </c>
      <c r="B181" s="3"/>
      <c r="C181" s="3"/>
      <c r="D181" s="3" t="n">
        <v>32</v>
      </c>
      <c r="E181" s="3" t="s">
        <v>74</v>
      </c>
      <c r="F181" s="3"/>
      <c r="G181" s="3"/>
      <c r="H181" s="4" t="n">
        <v>46234</v>
      </c>
      <c r="I181" s="5" t="n">
        <v>46273</v>
      </c>
      <c r="J181" s="4" t="n">
        <v>46274</v>
      </c>
      <c r="K181" s="4" t="n">
        <v>46282</v>
      </c>
      <c r="L181" s="3"/>
      <c r="M181" s="3"/>
      <c r="N181" s="3"/>
      <c r="O181" s="3" t="s">
        <v>75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 t="n">
        <v>3</v>
      </c>
      <c r="AC181" s="3" t="n">
        <v>0</v>
      </c>
      <c r="AD181" s="6" t="s">
        <v>43</v>
      </c>
      <c r="AE181" s="3" t="s">
        <v>73</v>
      </c>
      <c r="AF181" s="3"/>
      <c r="AG181" s="3"/>
      <c r="AH181" s="3"/>
      <c r="AI181" s="3"/>
      <c r="AJ181" s="3"/>
      <c r="AK181" s="3"/>
      <c r="AL181" s="7" t="n">
        <f aca="false">IF(A181="","",IF(COUNTIF(A181:A$2001,A181)=1,1,0))</f>
        <v>1</v>
      </c>
      <c r="AM181" s="7" t="n">
        <f aca="true">IF(I181="","",TODAY()-I181)</f>
        <v>17</v>
      </c>
      <c r="AN181" s="7" t="n">
        <f aca="false">IF(A181="","",IF(AND(E181&lt;&gt;"33 確認済",E181&lt;&gt;"36 送付中"),1,0))</f>
        <v>1</v>
      </c>
      <c r="AO181" s="7" t="n">
        <f aca="false">IF(A181="","",IF(AG181&lt;&gt;"",1,0))</f>
        <v>0</v>
      </c>
    </row>
    <row r="182" customFormat="false" ht="15" hidden="false" customHeight="false" outlineLevel="0" collapsed="false">
      <c r="A182" s="3" t="n">
        <v>202660001334</v>
      </c>
      <c r="B182" s="3"/>
      <c r="C182" s="3"/>
      <c r="D182" s="3" t="n">
        <v>20</v>
      </c>
      <c r="E182" s="3" t="s">
        <v>69</v>
      </c>
      <c r="F182" s="3" t="n">
        <v>20</v>
      </c>
      <c r="G182" s="3" t="s">
        <v>50</v>
      </c>
      <c r="H182" s="4" t="n">
        <v>46271</v>
      </c>
      <c r="I182" s="5" t="n">
        <v>46273</v>
      </c>
      <c r="J182" s="4" t="n">
        <v>46275</v>
      </c>
      <c r="K182" s="4" t="n">
        <v>46275</v>
      </c>
      <c r="L182" s="3"/>
      <c r="M182" s="3"/>
      <c r="N182" s="3"/>
      <c r="O182" s="3" t="s">
        <v>86</v>
      </c>
      <c r="P182" s="6" t="s">
        <v>60</v>
      </c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 t="n">
        <v>21</v>
      </c>
      <c r="AC182" s="3" t="n">
        <v>1</v>
      </c>
      <c r="AD182" s="6" t="s">
        <v>46</v>
      </c>
      <c r="AE182" s="3" t="s">
        <v>55</v>
      </c>
      <c r="AF182" s="6" t="s">
        <v>46</v>
      </c>
      <c r="AG182" s="6" t="s">
        <v>46</v>
      </c>
      <c r="AH182" s="6" t="s">
        <v>46</v>
      </c>
      <c r="AI182" s="3"/>
      <c r="AJ182" s="3"/>
      <c r="AK182" s="3"/>
      <c r="AL182" s="7" t="n">
        <f aca="false">IF(A182="","",IF(COUNTIF(A182:A$2001,A182)=1,1,0))</f>
        <v>1</v>
      </c>
      <c r="AM182" s="7" t="n">
        <f aca="true">IF(I182="","",TODAY()-I182)</f>
        <v>17</v>
      </c>
      <c r="AN182" s="7" t="n">
        <f aca="false">IF(A182="","",IF(AND(E182&lt;&gt;"33 確認済",E182&lt;&gt;"36 送付中"),1,0))</f>
        <v>1</v>
      </c>
      <c r="AO182" s="7" t="n">
        <f aca="false">IF(A182="","",IF(AG182&lt;&gt;"",1,0))</f>
        <v>1</v>
      </c>
    </row>
    <row r="183" customFormat="false" ht="15" hidden="false" customHeight="false" outlineLevel="0" collapsed="false">
      <c r="A183" s="3" t="n">
        <v>202660001337</v>
      </c>
      <c r="B183" s="3"/>
      <c r="C183" s="3"/>
      <c r="D183" s="3" t="n">
        <v>20</v>
      </c>
      <c r="E183" s="3" t="s">
        <v>69</v>
      </c>
      <c r="F183" s="3"/>
      <c r="G183" s="3"/>
      <c r="H183" s="4" t="n">
        <v>46254</v>
      </c>
      <c r="I183" s="5" t="n">
        <v>46273</v>
      </c>
      <c r="J183" s="3"/>
      <c r="K183" s="3"/>
      <c r="L183" s="3"/>
      <c r="M183" s="3"/>
      <c r="N183" s="3"/>
      <c r="O183" s="3" t="s">
        <v>67</v>
      </c>
      <c r="P183" s="6" t="s">
        <v>60</v>
      </c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 t="n">
        <v>21</v>
      </c>
      <c r="AC183" s="3" t="n">
        <v>1</v>
      </c>
      <c r="AD183" s="6" t="s">
        <v>46</v>
      </c>
      <c r="AE183" s="3" t="s">
        <v>55</v>
      </c>
      <c r="AF183" s="6" t="s">
        <v>46</v>
      </c>
      <c r="AG183" s="6" t="s">
        <v>46</v>
      </c>
      <c r="AH183" s="6" t="s">
        <v>46</v>
      </c>
      <c r="AI183" s="3"/>
      <c r="AJ183" s="3"/>
      <c r="AK183" s="3"/>
      <c r="AL183" s="7" t="n">
        <f aca="false">IF(A183="","",IF(COUNTIF(A183:A$2001,A183)=1,1,0))</f>
        <v>1</v>
      </c>
      <c r="AM183" s="7" t="n">
        <f aca="true">IF(I183="","",TODAY()-I183)</f>
        <v>17</v>
      </c>
      <c r="AN183" s="7" t="n">
        <f aca="false">IF(A183="","",IF(AND(E183&lt;&gt;"33 確認済",E183&lt;&gt;"36 送付中"),1,0))</f>
        <v>1</v>
      </c>
      <c r="AO183" s="7" t="n">
        <f aca="false">IF(A183="","",IF(AG183&lt;&gt;"",1,0))</f>
        <v>1</v>
      </c>
    </row>
    <row r="184" customFormat="false" ht="15" hidden="false" customHeight="false" outlineLevel="0" collapsed="false">
      <c r="A184" s="3" t="n">
        <v>202660001338</v>
      </c>
      <c r="B184" s="3"/>
      <c r="C184" s="3"/>
      <c r="D184" s="3" t="n">
        <v>32</v>
      </c>
      <c r="E184" s="3" t="s">
        <v>74</v>
      </c>
      <c r="F184" s="3"/>
      <c r="G184" s="3"/>
      <c r="H184" s="4" t="n">
        <v>46267</v>
      </c>
      <c r="I184" s="5" t="n">
        <v>46273</v>
      </c>
      <c r="J184" s="4" t="n">
        <v>46274</v>
      </c>
      <c r="K184" s="4" t="n">
        <v>46276</v>
      </c>
      <c r="L184" s="3"/>
      <c r="M184" s="3"/>
      <c r="N184" s="3"/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 t="n">
        <v>23</v>
      </c>
      <c r="AC184" s="3" t="n">
        <v>1</v>
      </c>
      <c r="AD184" s="6" t="s">
        <v>46</v>
      </c>
      <c r="AE184" s="3" t="s">
        <v>52</v>
      </c>
      <c r="AF184" s="3"/>
      <c r="AG184" s="3"/>
      <c r="AH184" s="3"/>
      <c r="AI184" s="3"/>
      <c r="AJ184" s="3"/>
      <c r="AK184" s="3"/>
      <c r="AL184" s="7" t="n">
        <f aca="false">IF(A184="","",IF(COUNTIF(A184:A$2001,A184)=1,1,0))</f>
        <v>0</v>
      </c>
      <c r="AM184" s="7" t="n">
        <f aca="true">IF(I184="","",TODAY()-I184)</f>
        <v>17</v>
      </c>
      <c r="AN184" s="7" t="n">
        <f aca="false">IF(A184="","",IF(AND(E184&lt;&gt;"33 確認済",E184&lt;&gt;"36 送付中"),1,0))</f>
        <v>1</v>
      </c>
      <c r="AO184" s="7" t="n">
        <f aca="false">IF(A184="","",IF(AG184&lt;&gt;"",1,0))</f>
        <v>0</v>
      </c>
    </row>
    <row r="185" customFormat="false" ht="15" hidden="false" customHeight="false" outlineLevel="0" collapsed="false">
      <c r="A185" s="3" t="n">
        <v>202660001338</v>
      </c>
      <c r="B185" s="3"/>
      <c r="C185" s="3"/>
      <c r="D185" s="3" t="n">
        <v>32</v>
      </c>
      <c r="E185" s="3" t="s">
        <v>74</v>
      </c>
      <c r="F185" s="3"/>
      <c r="G185" s="3"/>
      <c r="H185" s="4" t="n">
        <v>46267</v>
      </c>
      <c r="I185" s="5" t="n">
        <v>46273</v>
      </c>
      <c r="J185" s="4" t="n">
        <v>46274</v>
      </c>
      <c r="K185" s="4" t="n">
        <v>46276</v>
      </c>
      <c r="L185" s="3"/>
      <c r="M185" s="3"/>
      <c r="N185" s="3"/>
      <c r="O185" s="3" t="s">
        <v>75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 t="n">
        <v>23</v>
      </c>
      <c r="AC185" s="3" t="n">
        <v>1</v>
      </c>
      <c r="AD185" s="6" t="s">
        <v>46</v>
      </c>
      <c r="AE185" s="3" t="s">
        <v>53</v>
      </c>
      <c r="AF185" s="3"/>
      <c r="AG185" s="3"/>
      <c r="AH185" s="3"/>
      <c r="AI185" s="3"/>
      <c r="AJ185" s="3"/>
      <c r="AK185" s="3"/>
      <c r="AL185" s="7" t="n">
        <f aca="false">IF(A185="","",IF(COUNTIF(A185:A$2001,A185)=1,1,0))</f>
        <v>1</v>
      </c>
      <c r="AM185" s="7" t="n">
        <f aca="true">IF(I185="","",TODAY()-I185)</f>
        <v>17</v>
      </c>
      <c r="AN185" s="7" t="n">
        <f aca="false">IF(A185="","",IF(AND(E185&lt;&gt;"33 確認済",E185&lt;&gt;"36 送付中"),1,0))</f>
        <v>1</v>
      </c>
      <c r="AO185" s="7" t="n">
        <f aca="false">IF(A185="","",IF(AG185&lt;&gt;"",1,0))</f>
        <v>0</v>
      </c>
    </row>
    <row r="186" customFormat="false" ht="15" hidden="false" customHeight="false" outlineLevel="0" collapsed="false">
      <c r="A186" s="3" t="n">
        <v>202660001340</v>
      </c>
      <c r="B186" s="3"/>
      <c r="C186" s="3"/>
      <c r="D186" s="3" t="n">
        <v>31</v>
      </c>
      <c r="E186" s="3" t="s">
        <v>41</v>
      </c>
      <c r="F186" s="3"/>
      <c r="G186" s="3"/>
      <c r="H186" s="4" t="n">
        <v>46113</v>
      </c>
      <c r="I186" s="5" t="n">
        <v>46274</v>
      </c>
      <c r="J186" s="4" t="n">
        <v>46283</v>
      </c>
      <c r="K186" s="4" t="n">
        <v>46283</v>
      </c>
      <c r="L186" s="3"/>
      <c r="M186" s="3"/>
      <c r="N186" s="3"/>
      <c r="O186" s="3" t="s">
        <v>56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 t="n">
        <v>97</v>
      </c>
      <c r="AC186" s="3" t="n">
        <v>1</v>
      </c>
      <c r="AD186" s="6" t="s">
        <v>46</v>
      </c>
      <c r="AE186" s="3" t="s">
        <v>99</v>
      </c>
      <c r="AF186" s="6" t="s">
        <v>46</v>
      </c>
      <c r="AG186" s="6" t="s">
        <v>46</v>
      </c>
      <c r="AH186" s="6" t="s">
        <v>46</v>
      </c>
      <c r="AI186" s="3"/>
      <c r="AJ186" s="3"/>
      <c r="AK186" s="3"/>
      <c r="AL186" s="7" t="n">
        <f aca="false">IF(A186="","",IF(COUNTIF(A186:A$2001,A186)=1,1,0))</f>
        <v>1</v>
      </c>
      <c r="AM186" s="7" t="n">
        <f aca="true">IF(I186="","",TODAY()-I186)</f>
        <v>16</v>
      </c>
      <c r="AN186" s="7" t="n">
        <f aca="false">IF(A186="","",IF(AND(E186&lt;&gt;"33 確認済",E186&lt;&gt;"36 送付中"),1,0))</f>
        <v>1</v>
      </c>
      <c r="AO186" s="7" t="n">
        <f aca="false">IF(A186="","",IF(AG186&lt;&gt;"",1,0))</f>
        <v>1</v>
      </c>
    </row>
    <row r="187" customFormat="false" ht="15" hidden="false" customHeight="false" outlineLevel="0" collapsed="false">
      <c r="A187" s="3" t="n">
        <v>202660001341</v>
      </c>
      <c r="B187" s="3"/>
      <c r="C187" s="3"/>
      <c r="D187" s="3" t="n">
        <v>20</v>
      </c>
      <c r="E187" s="3" t="s">
        <v>69</v>
      </c>
      <c r="F187" s="3"/>
      <c r="G187" s="3"/>
      <c r="H187" s="4" t="n">
        <v>45948</v>
      </c>
      <c r="I187" s="5" t="n">
        <v>46274</v>
      </c>
      <c r="J187" s="3"/>
      <c r="K187" s="3"/>
      <c r="L187" s="3"/>
      <c r="M187" s="3"/>
      <c r="N187" s="3"/>
      <c r="O187" s="3" t="s">
        <v>67</v>
      </c>
      <c r="P187" s="6" t="s">
        <v>60</v>
      </c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 t="n">
        <v>51</v>
      </c>
      <c r="AC187" s="3" t="n">
        <v>0</v>
      </c>
      <c r="AD187" s="6" t="s">
        <v>43</v>
      </c>
      <c r="AE187" s="3" t="s">
        <v>72</v>
      </c>
      <c r="AF187" s="6" t="s">
        <v>43</v>
      </c>
      <c r="AG187" s="6" t="s">
        <v>43</v>
      </c>
      <c r="AH187" s="3"/>
      <c r="AI187" s="3"/>
      <c r="AJ187" s="3"/>
      <c r="AK187" s="3"/>
      <c r="AL187" s="7" t="n">
        <f aca="false">IF(A187="","",IF(COUNTIF(A187:A$2001,A187)=1,1,0))</f>
        <v>1</v>
      </c>
      <c r="AM187" s="7" t="n">
        <f aca="true">IF(I187="","",TODAY()-I187)</f>
        <v>16</v>
      </c>
      <c r="AN187" s="7" t="n">
        <f aca="false">IF(A187="","",IF(AND(E187&lt;&gt;"33 確認済",E187&lt;&gt;"36 送付中"),1,0))</f>
        <v>1</v>
      </c>
      <c r="AO187" s="7" t="n">
        <f aca="false">IF(A187="","",IF(AG187&lt;&gt;"",1,0))</f>
        <v>1</v>
      </c>
    </row>
    <row r="188" customFormat="false" ht="15" hidden="false" customHeight="false" outlineLevel="0" collapsed="false">
      <c r="A188" s="3" t="n">
        <v>202660001342</v>
      </c>
      <c r="B188" s="3"/>
      <c r="C188" s="3"/>
      <c r="D188" s="3" t="n">
        <v>40</v>
      </c>
      <c r="E188" s="3" t="s">
        <v>49</v>
      </c>
      <c r="F188" s="3" t="n">
        <v>20</v>
      </c>
      <c r="G188" s="3" t="s">
        <v>50</v>
      </c>
      <c r="H188" s="4" t="n">
        <v>46266</v>
      </c>
      <c r="I188" s="5" t="n">
        <v>46274</v>
      </c>
      <c r="J188" s="4" t="n">
        <v>46275</v>
      </c>
      <c r="K188" s="4" t="n">
        <v>46275</v>
      </c>
      <c r="L188" s="3"/>
      <c r="M188" s="3"/>
      <c r="N188" s="3"/>
      <c r="O188" s="3" t="s">
        <v>67</v>
      </c>
      <c r="P188" s="6" t="s">
        <v>60</v>
      </c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 t="n">
        <v>26</v>
      </c>
      <c r="AC188" s="3" t="n">
        <v>1</v>
      </c>
      <c r="AD188" s="6" t="s">
        <v>46</v>
      </c>
      <c r="AE188" s="3" t="s">
        <v>57</v>
      </c>
      <c r="AF188" s="6" t="s">
        <v>46</v>
      </c>
      <c r="AG188" s="3"/>
      <c r="AH188" s="3"/>
      <c r="AI188" s="3"/>
      <c r="AJ188" s="3"/>
      <c r="AK188" s="3"/>
      <c r="AL188" s="7" t="n">
        <f aca="false">IF(A188="","",IF(COUNTIF(A188:A$2001,A188)=1,1,0))</f>
        <v>1</v>
      </c>
      <c r="AM188" s="7" t="n">
        <f aca="true">IF(I188="","",TODAY()-I188)</f>
        <v>16</v>
      </c>
      <c r="AN188" s="7" t="n">
        <f aca="false">IF(A188="","",IF(AND(E188&lt;&gt;"33 確認済",E188&lt;&gt;"36 送付中"),1,0))</f>
        <v>1</v>
      </c>
      <c r="AO188" s="7" t="n">
        <f aca="false">IF(A188="","",IF(AG188&lt;&gt;"",1,0))</f>
        <v>0</v>
      </c>
    </row>
    <row r="189" customFormat="false" ht="15" hidden="false" customHeight="false" outlineLevel="0" collapsed="false">
      <c r="A189" s="3" t="n">
        <v>202660001343</v>
      </c>
      <c r="B189" s="3"/>
      <c r="C189" s="3"/>
      <c r="D189" s="3" t="n">
        <v>32</v>
      </c>
      <c r="E189" s="3" t="s">
        <v>74</v>
      </c>
      <c r="F189" s="3"/>
      <c r="G189" s="3"/>
      <c r="H189" s="4" t="n">
        <v>46266</v>
      </c>
      <c r="I189" s="5" t="n">
        <v>46274</v>
      </c>
      <c r="J189" s="4" t="n">
        <v>46276</v>
      </c>
      <c r="K189" s="4" t="n">
        <v>46276</v>
      </c>
      <c r="L189" s="3"/>
      <c r="M189" s="3"/>
      <c r="N189" s="3"/>
      <c r="O189" s="3" t="s">
        <v>82</v>
      </c>
      <c r="P189" s="3"/>
      <c r="Q189" s="3"/>
      <c r="R189" s="3"/>
      <c r="S189" s="6" t="s">
        <v>58</v>
      </c>
      <c r="T189" s="3"/>
      <c r="U189" s="3"/>
      <c r="V189" s="3"/>
      <c r="W189" s="3"/>
      <c r="X189" s="3"/>
      <c r="Y189" s="3"/>
      <c r="Z189" s="3"/>
      <c r="AA189" s="3"/>
      <c r="AB189" s="3" t="n">
        <v>97</v>
      </c>
      <c r="AC189" s="3" t="n">
        <v>1</v>
      </c>
      <c r="AD189" s="6" t="s">
        <v>46</v>
      </c>
      <c r="AE189" s="3" t="s">
        <v>99</v>
      </c>
      <c r="AF189" s="3"/>
      <c r="AG189" s="6" t="s">
        <v>46</v>
      </c>
      <c r="AH189" s="6" t="s">
        <v>46</v>
      </c>
      <c r="AI189" s="3"/>
      <c r="AJ189" s="3"/>
      <c r="AK189" s="3"/>
      <c r="AL189" s="7" t="n">
        <f aca="false">IF(A189="","",IF(COUNTIF(A189:A$2001,A189)=1,1,0))</f>
        <v>1</v>
      </c>
      <c r="AM189" s="7" t="n">
        <f aca="true">IF(I189="","",TODAY()-I189)</f>
        <v>16</v>
      </c>
      <c r="AN189" s="7" t="n">
        <f aca="false">IF(A189="","",IF(AND(E189&lt;&gt;"33 確認済",E189&lt;&gt;"36 送付中"),1,0))</f>
        <v>1</v>
      </c>
      <c r="AO189" s="7" t="n">
        <f aca="false">IF(A189="","",IF(AG189&lt;&gt;"",1,0))</f>
        <v>1</v>
      </c>
    </row>
    <row r="190" customFormat="false" ht="15" hidden="false" customHeight="false" outlineLevel="0" collapsed="false">
      <c r="A190" s="3" t="n">
        <v>202660001344</v>
      </c>
      <c r="B190" s="3"/>
      <c r="C190" s="3"/>
      <c r="D190" s="3" t="n">
        <v>30</v>
      </c>
      <c r="E190" s="3" t="s">
        <v>93</v>
      </c>
      <c r="F190" s="3"/>
      <c r="G190" s="3"/>
      <c r="H190" s="4" t="n">
        <v>46023</v>
      </c>
      <c r="I190" s="5" t="n">
        <v>46274</v>
      </c>
      <c r="J190" s="4" t="n">
        <v>46275</v>
      </c>
      <c r="K190" s="3"/>
      <c r="L190" s="3"/>
      <c r="M190" s="3"/>
      <c r="N190" s="3"/>
      <c r="O190" s="3" t="s">
        <v>94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 t="n">
        <v>54</v>
      </c>
      <c r="AC190" s="3" t="n">
        <v>0</v>
      </c>
      <c r="AD190" s="6" t="s">
        <v>43</v>
      </c>
      <c r="AE190" s="3" t="s">
        <v>85</v>
      </c>
      <c r="AF190" s="3"/>
      <c r="AG190" s="3"/>
      <c r="AH190" s="6" t="s">
        <v>43</v>
      </c>
      <c r="AI190" s="3"/>
      <c r="AJ190" s="3"/>
      <c r="AK190" s="3"/>
      <c r="AL190" s="7" t="n">
        <f aca="false">IF(A190="","",IF(COUNTIF(A190:A$2001,A190)=1,1,0))</f>
        <v>1</v>
      </c>
      <c r="AM190" s="7" t="n">
        <f aca="true">IF(I190="","",TODAY()-I190)</f>
        <v>16</v>
      </c>
      <c r="AN190" s="7" t="n">
        <f aca="false">IF(A190="","",IF(AND(E190&lt;&gt;"33 確認済",E190&lt;&gt;"36 送付中"),1,0))</f>
        <v>1</v>
      </c>
      <c r="AO190" s="7" t="n">
        <f aca="false">IF(A190="","",IF(AG190&lt;&gt;"",1,0))</f>
        <v>0</v>
      </c>
    </row>
    <row r="191" customFormat="false" ht="15" hidden="false" customHeight="false" outlineLevel="0" collapsed="false">
      <c r="A191" s="3" t="n">
        <v>202660001345</v>
      </c>
      <c r="B191" s="3"/>
      <c r="C191" s="3"/>
      <c r="D191" s="3" t="n">
        <v>31</v>
      </c>
      <c r="E191" s="3" t="s">
        <v>41</v>
      </c>
      <c r="F191" s="3"/>
      <c r="G191" s="3"/>
      <c r="H191" s="4" t="n">
        <v>46272</v>
      </c>
      <c r="I191" s="5" t="n">
        <v>46281</v>
      </c>
      <c r="J191" s="4" t="n">
        <v>46283</v>
      </c>
      <c r="K191" s="4" t="n">
        <v>46283</v>
      </c>
      <c r="L191" s="3"/>
      <c r="M191" s="3"/>
      <c r="N191" s="3"/>
      <c r="O191" s="3" t="s">
        <v>42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 t="n">
        <v>21</v>
      </c>
      <c r="AC191" s="3" t="n">
        <v>1</v>
      </c>
      <c r="AD191" s="6" t="s">
        <v>46</v>
      </c>
      <c r="AE191" s="3" t="s">
        <v>55</v>
      </c>
      <c r="AF191" s="6" t="s">
        <v>46</v>
      </c>
      <c r="AG191" s="6" t="s">
        <v>46</v>
      </c>
      <c r="AH191" s="6" t="s">
        <v>46</v>
      </c>
      <c r="AI191" s="3"/>
      <c r="AJ191" s="3"/>
      <c r="AK191" s="3"/>
      <c r="AL191" s="7" t="n">
        <f aca="false">IF(A191="","",IF(COUNTIF(A191:A$2001,A191)=1,1,0))</f>
        <v>1</v>
      </c>
      <c r="AM191" s="7" t="n">
        <f aca="true">IF(I191="","",TODAY()-I191)</f>
        <v>9</v>
      </c>
      <c r="AN191" s="7" t="n">
        <f aca="false">IF(A191="","",IF(AND(E191&lt;&gt;"33 確認済",E191&lt;&gt;"36 送付中"),1,0))</f>
        <v>1</v>
      </c>
      <c r="AO191" s="7" t="n">
        <f aca="false">IF(A191="","",IF(AG191&lt;&gt;"",1,0))</f>
        <v>1</v>
      </c>
    </row>
    <row r="192" customFormat="false" ht="15" hidden="false" customHeight="false" outlineLevel="0" collapsed="false">
      <c r="A192" s="3" t="n">
        <v>202660001346</v>
      </c>
      <c r="B192" s="3"/>
      <c r="C192" s="3"/>
      <c r="D192" s="3" t="n">
        <v>36</v>
      </c>
      <c r="E192" s="3" t="s">
        <v>87</v>
      </c>
      <c r="F192" s="3" t="n">
        <v>30</v>
      </c>
      <c r="G192" s="3" t="s">
        <v>77</v>
      </c>
      <c r="H192" s="4" t="n">
        <v>46248</v>
      </c>
      <c r="I192" s="5" t="n">
        <v>46251</v>
      </c>
      <c r="J192" s="4" t="n">
        <v>46276</v>
      </c>
      <c r="K192" s="4" t="n">
        <v>46276</v>
      </c>
      <c r="L192" s="4" t="n">
        <v>46289</v>
      </c>
      <c r="M192" s="4" t="n">
        <v>46289</v>
      </c>
      <c r="N192" s="3"/>
      <c r="O192" s="3" t="s">
        <v>88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 t="n">
        <v>21</v>
      </c>
      <c r="AC192" s="3" t="n">
        <v>1</v>
      </c>
      <c r="AD192" s="6" t="s">
        <v>46</v>
      </c>
      <c r="AE192" s="3" t="s">
        <v>55</v>
      </c>
      <c r="AF192" s="6" t="s">
        <v>46</v>
      </c>
      <c r="AG192" s="6" t="s">
        <v>46</v>
      </c>
      <c r="AH192" s="6" t="s">
        <v>46</v>
      </c>
      <c r="AI192" s="3"/>
      <c r="AJ192" s="3"/>
      <c r="AK192" s="3"/>
      <c r="AL192" s="7" t="n">
        <f aca="false">IF(A192="","",IF(COUNTIF(A192:A$2001,A192)=1,1,0))</f>
        <v>1</v>
      </c>
      <c r="AM192" s="7" t="n">
        <f aca="true">IF(I192="","",TODAY()-I192)</f>
        <v>39</v>
      </c>
      <c r="AN192" s="7" t="n">
        <f aca="false">IF(A192="","",IF(AND(E192&lt;&gt;"33 確認済",E192&lt;&gt;"36 送付中"),1,0))</f>
        <v>0</v>
      </c>
      <c r="AO192" s="7" t="n">
        <f aca="false">IF(A192="","",IF(AG192&lt;&gt;"",1,0))</f>
        <v>1</v>
      </c>
    </row>
    <row r="193" customFormat="false" ht="15" hidden="false" customHeight="false" outlineLevel="0" collapsed="false">
      <c r="A193" s="3" t="n">
        <v>202660001349</v>
      </c>
      <c r="B193" s="3"/>
      <c r="C193" s="3"/>
      <c r="D193" s="3" t="n">
        <v>31</v>
      </c>
      <c r="E193" s="3" t="s">
        <v>41</v>
      </c>
      <c r="F193" s="3"/>
      <c r="G193" s="3"/>
      <c r="H193" s="4" t="n">
        <v>46269</v>
      </c>
      <c r="I193" s="5" t="n">
        <v>46275</v>
      </c>
      <c r="J193" s="4" t="n">
        <v>46280</v>
      </c>
      <c r="K193" s="4" t="n">
        <v>46280</v>
      </c>
      <c r="L193" s="3"/>
      <c r="M193" s="3"/>
      <c r="N193" s="3"/>
      <c r="O193" s="3" t="s">
        <v>56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 t="n">
        <v>21</v>
      </c>
      <c r="AC193" s="3" t="n">
        <v>1</v>
      </c>
      <c r="AD193" s="6" t="s">
        <v>46</v>
      </c>
      <c r="AE193" s="3" t="s">
        <v>55</v>
      </c>
      <c r="AF193" s="6" t="s">
        <v>46</v>
      </c>
      <c r="AG193" s="6" t="s">
        <v>46</v>
      </c>
      <c r="AH193" s="6" t="s">
        <v>46</v>
      </c>
      <c r="AI193" s="3"/>
      <c r="AJ193" s="3"/>
      <c r="AK193" s="3"/>
      <c r="AL193" s="7" t="n">
        <f aca="false">IF(A193="","",IF(COUNTIF(A193:A$2001,A193)=1,1,0))</f>
        <v>1</v>
      </c>
      <c r="AM193" s="7" t="n">
        <f aca="true">IF(I193="","",TODAY()-I193)</f>
        <v>15</v>
      </c>
      <c r="AN193" s="7" t="n">
        <f aca="false">IF(A193="","",IF(AND(E193&lt;&gt;"33 確認済",E193&lt;&gt;"36 送付中"),1,0))</f>
        <v>1</v>
      </c>
      <c r="AO193" s="7" t="n">
        <f aca="false">IF(A193="","",IF(AG193&lt;&gt;"",1,0))</f>
        <v>1</v>
      </c>
    </row>
    <row r="194" customFormat="false" ht="15" hidden="false" customHeight="false" outlineLevel="0" collapsed="false">
      <c r="A194" s="3" t="n">
        <v>202660001350</v>
      </c>
      <c r="B194" s="3"/>
      <c r="C194" s="3"/>
      <c r="D194" s="3" t="n">
        <v>32</v>
      </c>
      <c r="E194" s="3" t="s">
        <v>74</v>
      </c>
      <c r="F194" s="3"/>
      <c r="G194" s="3"/>
      <c r="H194" s="4" t="n">
        <v>46266</v>
      </c>
      <c r="I194" s="5" t="n">
        <v>46275</v>
      </c>
      <c r="J194" s="4" t="n">
        <v>46275</v>
      </c>
      <c r="K194" s="4" t="n">
        <v>46275</v>
      </c>
      <c r="L194" s="3"/>
      <c r="M194" s="3"/>
      <c r="N194" s="3"/>
      <c r="O194" s="3" t="s">
        <v>75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 t="n">
        <v>26</v>
      </c>
      <c r="AC194" s="3" t="n">
        <v>1</v>
      </c>
      <c r="AD194" s="6" t="s">
        <v>46</v>
      </c>
      <c r="AE194" s="3" t="s">
        <v>57</v>
      </c>
      <c r="AF194" s="3"/>
      <c r="AG194" s="3"/>
      <c r="AH194" s="6" t="s">
        <v>46</v>
      </c>
      <c r="AI194" s="3"/>
      <c r="AJ194" s="3"/>
      <c r="AK194" s="3"/>
      <c r="AL194" s="7" t="n">
        <f aca="false">IF(A194="","",IF(COUNTIF(A194:A$2001,A194)=1,1,0))</f>
        <v>1</v>
      </c>
      <c r="AM194" s="7" t="n">
        <f aca="true">IF(I194="","",TODAY()-I194)</f>
        <v>15</v>
      </c>
      <c r="AN194" s="7" t="n">
        <f aca="false">IF(A194="","",IF(AND(E194&lt;&gt;"33 確認済",E194&lt;&gt;"36 送付中"),1,0))</f>
        <v>1</v>
      </c>
      <c r="AO194" s="7" t="n">
        <f aca="false">IF(A194="","",IF(AG194&lt;&gt;"",1,0))</f>
        <v>0</v>
      </c>
    </row>
    <row r="195" customFormat="false" ht="15" hidden="false" customHeight="false" outlineLevel="0" collapsed="false">
      <c r="A195" s="3" t="n">
        <v>202660001351</v>
      </c>
      <c r="B195" s="3"/>
      <c r="C195" s="3"/>
      <c r="D195" s="3" t="n">
        <v>32</v>
      </c>
      <c r="E195" s="3" t="s">
        <v>74</v>
      </c>
      <c r="F195" s="3"/>
      <c r="G195" s="3"/>
      <c r="H195" s="4" t="n">
        <v>46266</v>
      </c>
      <c r="I195" s="5" t="n">
        <v>46280</v>
      </c>
      <c r="J195" s="4" t="n">
        <v>46281</v>
      </c>
      <c r="K195" s="4" t="n">
        <v>46281</v>
      </c>
      <c r="L195" s="3"/>
      <c r="M195" s="3"/>
      <c r="N195" s="3"/>
      <c r="O195" s="3" t="s">
        <v>75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 t="n">
        <v>21</v>
      </c>
      <c r="AC195" s="3" t="n">
        <v>1</v>
      </c>
      <c r="AD195" s="6" t="s">
        <v>46</v>
      </c>
      <c r="AE195" s="3" t="s">
        <v>55</v>
      </c>
      <c r="AF195" s="6" t="s">
        <v>46</v>
      </c>
      <c r="AG195" s="6" t="s">
        <v>46</v>
      </c>
      <c r="AH195" s="6" t="s">
        <v>46</v>
      </c>
      <c r="AI195" s="3"/>
      <c r="AJ195" s="3"/>
      <c r="AK195" s="3"/>
      <c r="AL195" s="7" t="n">
        <f aca="false">IF(A195="","",IF(COUNTIF(A195:A$2001,A195)=1,1,0))</f>
        <v>1</v>
      </c>
      <c r="AM195" s="7" t="n">
        <f aca="true">IF(I195="","",TODAY()-I195)</f>
        <v>10</v>
      </c>
      <c r="AN195" s="7" t="n">
        <f aca="false">IF(A195="","",IF(AND(E195&lt;&gt;"33 確認済",E195&lt;&gt;"36 送付中"),1,0))</f>
        <v>1</v>
      </c>
      <c r="AO195" s="7" t="n">
        <f aca="false">IF(A195="","",IF(AG195&lt;&gt;"",1,0))</f>
        <v>1</v>
      </c>
    </row>
    <row r="196" customFormat="false" ht="15" hidden="false" customHeight="false" outlineLevel="0" collapsed="false">
      <c r="A196" s="3" t="n">
        <v>202660001352</v>
      </c>
      <c r="B196" s="3"/>
      <c r="C196" s="3"/>
      <c r="D196" s="3" t="n">
        <v>31</v>
      </c>
      <c r="E196" s="3" t="s">
        <v>41</v>
      </c>
      <c r="F196" s="3"/>
      <c r="G196" s="3"/>
      <c r="H196" s="4" t="n">
        <v>46144</v>
      </c>
      <c r="I196" s="5" t="n">
        <v>46149</v>
      </c>
      <c r="J196" s="4" t="n">
        <v>46279</v>
      </c>
      <c r="K196" s="4" t="n">
        <v>46279</v>
      </c>
      <c r="L196" s="3"/>
      <c r="M196" s="3"/>
      <c r="N196" s="3"/>
      <c r="O196" s="3" t="s">
        <v>56</v>
      </c>
      <c r="P196" s="3"/>
      <c r="Q196" s="3"/>
      <c r="R196" s="3"/>
      <c r="S196" s="3"/>
      <c r="T196" s="3"/>
      <c r="U196" s="6" t="s">
        <v>68</v>
      </c>
      <c r="V196" s="3"/>
      <c r="W196" s="3"/>
      <c r="X196" s="3"/>
      <c r="Y196" s="3"/>
      <c r="Z196" s="3"/>
      <c r="AA196" s="3"/>
      <c r="AB196" s="3" t="n">
        <v>25</v>
      </c>
      <c r="AC196" s="3" t="n">
        <v>1</v>
      </c>
      <c r="AD196" s="6" t="s">
        <v>46</v>
      </c>
      <c r="AE196" s="3" t="s">
        <v>54</v>
      </c>
      <c r="AF196" s="6" t="s">
        <v>46</v>
      </c>
      <c r="AG196" s="3"/>
      <c r="AH196" s="3"/>
      <c r="AI196" s="3"/>
      <c r="AJ196" s="3"/>
      <c r="AK196" s="3"/>
      <c r="AL196" s="7" t="n">
        <f aca="false">IF(A196="","",IF(COUNTIF(A196:A$2001,A196)=1,1,0))</f>
        <v>1</v>
      </c>
      <c r="AM196" s="7" t="n">
        <f aca="true">IF(I196="","",TODAY()-I196)</f>
        <v>141</v>
      </c>
      <c r="AN196" s="7" t="n">
        <f aca="false">IF(A196="","",IF(AND(E196&lt;&gt;"33 確認済",E196&lt;&gt;"36 送付中"),1,0))</f>
        <v>1</v>
      </c>
      <c r="AO196" s="7" t="n">
        <f aca="false">IF(A196="","",IF(AG196&lt;&gt;"",1,0))</f>
        <v>0</v>
      </c>
    </row>
    <row r="197" customFormat="false" ht="15" hidden="false" customHeight="false" outlineLevel="0" collapsed="false">
      <c r="A197" s="3" t="n">
        <v>202660001353</v>
      </c>
      <c r="B197" s="3"/>
      <c r="C197" s="3"/>
      <c r="D197" s="3" t="n">
        <v>32</v>
      </c>
      <c r="E197" s="3" t="s">
        <v>74</v>
      </c>
      <c r="F197" s="3"/>
      <c r="G197" s="3"/>
      <c r="H197" s="4" t="n">
        <v>46204</v>
      </c>
      <c r="I197" s="5" t="n">
        <v>46275</v>
      </c>
      <c r="J197" s="4" t="n">
        <v>46279</v>
      </c>
      <c r="K197" s="4" t="n">
        <v>46279</v>
      </c>
      <c r="L197" s="3"/>
      <c r="M197" s="3"/>
      <c r="N197" s="3"/>
      <c r="O197" s="3" t="s">
        <v>75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 t="n">
        <v>28</v>
      </c>
      <c r="AC197" s="3" t="n">
        <v>3</v>
      </c>
      <c r="AD197" s="6" t="s">
        <v>43</v>
      </c>
      <c r="AE197" s="3"/>
      <c r="AF197" s="3"/>
      <c r="AG197" s="3"/>
      <c r="AH197" s="3"/>
      <c r="AI197" s="3"/>
      <c r="AJ197" s="3"/>
      <c r="AK197" s="3"/>
      <c r="AL197" s="7" t="n">
        <f aca="false">IF(A197="","",IF(COUNTIF(A197:A$2001,A197)=1,1,0))</f>
        <v>1</v>
      </c>
      <c r="AM197" s="7" t="n">
        <f aca="true">IF(I197="","",TODAY()-I197)</f>
        <v>15</v>
      </c>
      <c r="AN197" s="7" t="n">
        <f aca="false">IF(A197="","",IF(AND(E197&lt;&gt;"33 確認済",E197&lt;&gt;"36 送付中"),1,0))</f>
        <v>1</v>
      </c>
      <c r="AO197" s="7" t="n">
        <f aca="false">IF(A197="","",IF(AG197&lt;&gt;"",1,0))</f>
        <v>0</v>
      </c>
    </row>
    <row r="198" customFormat="false" ht="15" hidden="false" customHeight="false" outlineLevel="0" collapsed="false">
      <c r="A198" s="3" t="n">
        <v>202660001354</v>
      </c>
      <c r="B198" s="3"/>
      <c r="C198" s="3"/>
      <c r="D198" s="3" t="n">
        <v>20</v>
      </c>
      <c r="E198" s="3" t="s">
        <v>69</v>
      </c>
      <c r="F198" s="3"/>
      <c r="G198" s="3"/>
      <c r="H198" s="4" t="n">
        <v>46273</v>
      </c>
      <c r="I198" s="5" t="n">
        <v>46276</v>
      </c>
      <c r="J198" s="3"/>
      <c r="K198" s="3"/>
      <c r="L198" s="3"/>
      <c r="M198" s="3"/>
      <c r="N198" s="3"/>
      <c r="O198" s="3" t="s">
        <v>67</v>
      </c>
      <c r="P198" s="6" t="s">
        <v>60</v>
      </c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 t="n">
        <v>22</v>
      </c>
      <c r="AC198" s="3" t="n">
        <v>1</v>
      </c>
      <c r="AD198" s="6" t="s">
        <v>46</v>
      </c>
      <c r="AE198" s="3" t="s">
        <v>47</v>
      </c>
      <c r="AF198" s="6" t="s">
        <v>46</v>
      </c>
      <c r="AG198" s="6" t="s">
        <v>46</v>
      </c>
      <c r="AH198" s="6" t="s">
        <v>46</v>
      </c>
      <c r="AI198" s="3"/>
      <c r="AJ198" s="3"/>
      <c r="AK198" s="3"/>
      <c r="AL198" s="7" t="n">
        <f aca="false">IF(A198="","",IF(COUNTIF(A198:A$2001,A198)=1,1,0))</f>
        <v>1</v>
      </c>
      <c r="AM198" s="7" t="n">
        <f aca="true">IF(I198="","",TODAY()-I198)</f>
        <v>14</v>
      </c>
      <c r="AN198" s="7" t="n">
        <f aca="false">IF(A198="","",IF(AND(E198&lt;&gt;"33 確認済",E198&lt;&gt;"36 送付中"),1,0))</f>
        <v>1</v>
      </c>
      <c r="AO198" s="7" t="n">
        <f aca="false">IF(A198="","",IF(AG198&lt;&gt;"",1,0))</f>
        <v>1</v>
      </c>
    </row>
    <row r="199" customFormat="false" ht="15" hidden="false" customHeight="false" outlineLevel="0" collapsed="false">
      <c r="A199" s="3" t="n">
        <v>202660001355</v>
      </c>
      <c r="B199" s="3"/>
      <c r="C199" s="3"/>
      <c r="D199" s="3" t="n">
        <v>40</v>
      </c>
      <c r="E199" s="3" t="s">
        <v>49</v>
      </c>
      <c r="F199" s="3" t="n">
        <v>20</v>
      </c>
      <c r="G199" s="3" t="s">
        <v>50</v>
      </c>
      <c r="H199" s="4" t="n">
        <v>46265</v>
      </c>
      <c r="I199" s="5" t="n">
        <v>46276</v>
      </c>
      <c r="J199" s="4" t="n">
        <v>46279</v>
      </c>
      <c r="K199" s="4" t="n">
        <v>46279</v>
      </c>
      <c r="L199" s="3"/>
      <c r="M199" s="3"/>
      <c r="N199" s="3"/>
      <c r="O199" s="3" t="s">
        <v>62</v>
      </c>
      <c r="P199" s="3"/>
      <c r="Q199" s="3"/>
      <c r="R199" s="3"/>
      <c r="S199" s="3"/>
      <c r="T199" s="3"/>
      <c r="U199" s="3"/>
      <c r="V199" s="3"/>
      <c r="W199" s="6" t="s">
        <v>63</v>
      </c>
      <c r="X199" s="3"/>
      <c r="Y199" s="3"/>
      <c r="Z199" s="3"/>
      <c r="AA199" s="3"/>
      <c r="AB199" s="3" t="n">
        <v>51</v>
      </c>
      <c r="AC199" s="3" t="n">
        <v>0</v>
      </c>
      <c r="AD199" s="6" t="s">
        <v>43</v>
      </c>
      <c r="AE199" s="3" t="s">
        <v>72</v>
      </c>
      <c r="AF199" s="3"/>
      <c r="AG199" s="6" t="s">
        <v>43</v>
      </c>
      <c r="AH199" s="6" t="s">
        <v>43</v>
      </c>
      <c r="AI199" s="3"/>
      <c r="AJ199" s="3"/>
      <c r="AK199" s="3"/>
      <c r="AL199" s="7" t="n">
        <f aca="false">IF(A199="","",IF(COUNTIF(A199:A$2001,A199)=1,1,0))</f>
        <v>1</v>
      </c>
      <c r="AM199" s="7" t="n">
        <f aca="true">IF(I199="","",TODAY()-I199)</f>
        <v>14</v>
      </c>
      <c r="AN199" s="7" t="n">
        <f aca="false">IF(A199="","",IF(AND(E199&lt;&gt;"33 確認済",E199&lt;&gt;"36 送付中"),1,0))</f>
        <v>1</v>
      </c>
      <c r="AO199" s="7" t="n">
        <f aca="false">IF(A199="","",IF(AG199&lt;&gt;"",1,0))</f>
        <v>1</v>
      </c>
    </row>
    <row r="200" customFormat="false" ht="15" hidden="false" customHeight="false" outlineLevel="0" collapsed="false">
      <c r="A200" s="3" t="n">
        <v>202660001356</v>
      </c>
      <c r="B200" s="3"/>
      <c r="C200" s="3"/>
      <c r="D200" s="3" t="n">
        <v>31</v>
      </c>
      <c r="E200" s="3" t="s">
        <v>41</v>
      </c>
      <c r="F200" s="3"/>
      <c r="G200" s="3"/>
      <c r="H200" s="4" t="n">
        <v>46276</v>
      </c>
      <c r="I200" s="5" t="n">
        <v>46277</v>
      </c>
      <c r="J200" s="4" t="n">
        <v>46279</v>
      </c>
      <c r="K200" s="4" t="n">
        <v>46283</v>
      </c>
      <c r="L200" s="3"/>
      <c r="M200" s="3"/>
      <c r="N200" s="3"/>
      <c r="O200" s="3" t="s">
        <v>42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 t="n">
        <v>23</v>
      </c>
      <c r="AC200" s="3" t="n">
        <v>1</v>
      </c>
      <c r="AD200" s="6" t="s">
        <v>46</v>
      </c>
      <c r="AE200" s="3" t="s">
        <v>52</v>
      </c>
      <c r="AF200" s="3"/>
      <c r="AG200" s="3"/>
      <c r="AH200" s="3"/>
      <c r="AI200" s="3"/>
      <c r="AJ200" s="3"/>
      <c r="AK200" s="3"/>
      <c r="AL200" s="7" t="n">
        <f aca="false">IF(A200="","",IF(COUNTIF(A200:A$2001,A200)=1,1,0))</f>
        <v>0</v>
      </c>
      <c r="AM200" s="7" t="n">
        <f aca="true">IF(I200="","",TODAY()-I200)</f>
        <v>13</v>
      </c>
      <c r="AN200" s="7" t="n">
        <f aca="false">IF(A200="","",IF(AND(E200&lt;&gt;"33 確認済",E200&lt;&gt;"36 送付中"),1,0))</f>
        <v>1</v>
      </c>
      <c r="AO200" s="7" t="n">
        <f aca="false">IF(A200="","",IF(AG200&lt;&gt;"",1,0))</f>
        <v>0</v>
      </c>
    </row>
    <row r="201" customFormat="false" ht="15" hidden="false" customHeight="false" outlineLevel="0" collapsed="false">
      <c r="A201" s="3" t="n">
        <v>202660001356</v>
      </c>
      <c r="B201" s="3"/>
      <c r="C201" s="3"/>
      <c r="D201" s="3" t="n">
        <v>31</v>
      </c>
      <c r="E201" s="3" t="s">
        <v>41</v>
      </c>
      <c r="F201" s="3"/>
      <c r="G201" s="3"/>
      <c r="H201" s="4" t="n">
        <v>46276</v>
      </c>
      <c r="I201" s="5" t="n">
        <v>46277</v>
      </c>
      <c r="J201" s="4" t="n">
        <v>46279</v>
      </c>
      <c r="K201" s="4" t="n">
        <v>46283</v>
      </c>
      <c r="L201" s="3"/>
      <c r="M201" s="3"/>
      <c r="N201" s="3"/>
      <c r="O201" s="3" t="s">
        <v>42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 t="n">
        <v>23</v>
      </c>
      <c r="AC201" s="3" t="n">
        <v>1</v>
      </c>
      <c r="AD201" s="6" t="s">
        <v>46</v>
      </c>
      <c r="AE201" s="3" t="s">
        <v>53</v>
      </c>
      <c r="AF201" s="3"/>
      <c r="AG201" s="3"/>
      <c r="AH201" s="3"/>
      <c r="AI201" s="3"/>
      <c r="AJ201" s="3"/>
      <c r="AK201" s="3"/>
      <c r="AL201" s="7" t="n">
        <f aca="false">IF(A201="","",IF(COUNTIF(A201:A$2001,A201)=1,1,0))</f>
        <v>1</v>
      </c>
      <c r="AM201" s="7" t="n">
        <f aca="true">IF(I201="","",TODAY()-I201)</f>
        <v>13</v>
      </c>
      <c r="AN201" s="7" t="n">
        <f aca="false">IF(A201="","",IF(AND(E201&lt;&gt;"33 確認済",E201&lt;&gt;"36 送付中"),1,0))</f>
        <v>1</v>
      </c>
      <c r="AO201" s="7" t="n">
        <f aca="false">IF(A201="","",IF(AG201&lt;&gt;"",1,0))</f>
        <v>0</v>
      </c>
    </row>
    <row r="202" customFormat="false" ht="15" hidden="false" customHeight="false" outlineLevel="0" collapsed="false">
      <c r="A202" s="3" t="n">
        <v>202660001358</v>
      </c>
      <c r="B202" s="3"/>
      <c r="C202" s="3"/>
      <c r="D202" s="3" t="n">
        <v>20</v>
      </c>
      <c r="E202" s="3" t="s">
        <v>69</v>
      </c>
      <c r="F202" s="3"/>
      <c r="G202" s="3"/>
      <c r="H202" s="4" t="n">
        <v>46260</v>
      </c>
      <c r="I202" s="5" t="n">
        <v>46283</v>
      </c>
      <c r="J202" s="3"/>
      <c r="K202" s="3"/>
      <c r="L202" s="3"/>
      <c r="M202" s="3"/>
      <c r="N202" s="3"/>
      <c r="O202" s="3" t="s">
        <v>67</v>
      </c>
      <c r="P202" s="6" t="s">
        <v>60</v>
      </c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 t="n">
        <v>24</v>
      </c>
      <c r="AC202" s="3" t="n">
        <v>1</v>
      </c>
      <c r="AD202" s="6" t="s">
        <v>46</v>
      </c>
      <c r="AE202" s="3" t="s">
        <v>91</v>
      </c>
      <c r="AF202" s="6" t="s">
        <v>46</v>
      </c>
      <c r="AG202" s="6" t="s">
        <v>46</v>
      </c>
      <c r="AH202" s="6" t="s">
        <v>46</v>
      </c>
      <c r="AI202" s="3"/>
      <c r="AJ202" s="3"/>
      <c r="AK202" s="3"/>
      <c r="AL202" s="7" t="n">
        <f aca="false">IF(A202="","",IF(COUNTIF(A202:A$2001,A202)=1,1,0))</f>
        <v>1</v>
      </c>
      <c r="AM202" s="7" t="n">
        <f aca="true">IF(I202="","",TODAY()-I202)</f>
        <v>7</v>
      </c>
      <c r="AN202" s="7" t="n">
        <f aca="false">IF(A202="","",IF(AND(E202&lt;&gt;"33 確認済",E202&lt;&gt;"36 送付中"),1,0))</f>
        <v>1</v>
      </c>
      <c r="AO202" s="7" t="n">
        <f aca="false">IF(A202="","",IF(AG202&lt;&gt;"",1,0))</f>
        <v>1</v>
      </c>
    </row>
    <row r="203" customFormat="false" ht="15" hidden="false" customHeight="false" outlineLevel="0" collapsed="false">
      <c r="A203" s="3" t="n">
        <v>202660001359</v>
      </c>
      <c r="B203" s="3"/>
      <c r="C203" s="3"/>
      <c r="D203" s="3" t="n">
        <v>32</v>
      </c>
      <c r="E203" s="3" t="s">
        <v>74</v>
      </c>
      <c r="F203" s="3"/>
      <c r="G203" s="3"/>
      <c r="H203" s="4" t="n">
        <v>46242</v>
      </c>
      <c r="I203" s="5" t="n">
        <v>46279</v>
      </c>
      <c r="J203" s="4" t="n">
        <v>46279</v>
      </c>
      <c r="K203" s="4" t="n">
        <v>46282</v>
      </c>
      <c r="L203" s="3"/>
      <c r="M203" s="3"/>
      <c r="N203" s="3"/>
      <c r="O203" s="3" t="s">
        <v>75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 t="n">
        <v>23</v>
      </c>
      <c r="AC203" s="3" t="n">
        <v>1</v>
      </c>
      <c r="AD203" s="6" t="s">
        <v>46</v>
      </c>
      <c r="AE203" s="3" t="s">
        <v>52</v>
      </c>
      <c r="AF203" s="3"/>
      <c r="AG203" s="3"/>
      <c r="AH203" s="3"/>
      <c r="AI203" s="3"/>
      <c r="AJ203" s="3"/>
      <c r="AK203" s="3"/>
      <c r="AL203" s="7" t="n">
        <f aca="false">IF(A203="","",IF(COUNTIF(A203:A$2001,A203)=1,1,0))</f>
        <v>0</v>
      </c>
      <c r="AM203" s="7" t="n">
        <f aca="true">IF(I203="","",TODAY()-I203)</f>
        <v>11</v>
      </c>
      <c r="AN203" s="7" t="n">
        <f aca="false">IF(A203="","",IF(AND(E203&lt;&gt;"33 確認済",E203&lt;&gt;"36 送付中"),1,0))</f>
        <v>1</v>
      </c>
      <c r="AO203" s="7" t="n">
        <f aca="false">IF(A203="","",IF(AG203&lt;&gt;"",1,0))</f>
        <v>0</v>
      </c>
    </row>
    <row r="204" customFormat="false" ht="15" hidden="false" customHeight="false" outlineLevel="0" collapsed="false">
      <c r="A204" s="3" t="n">
        <v>202660001359</v>
      </c>
      <c r="B204" s="3"/>
      <c r="C204" s="3"/>
      <c r="D204" s="3" t="n">
        <v>32</v>
      </c>
      <c r="E204" s="3" t="s">
        <v>74</v>
      </c>
      <c r="F204" s="3"/>
      <c r="G204" s="3"/>
      <c r="H204" s="4" t="n">
        <v>46242</v>
      </c>
      <c r="I204" s="5" t="n">
        <v>46279</v>
      </c>
      <c r="J204" s="4" t="n">
        <v>46279</v>
      </c>
      <c r="K204" s="4" t="n">
        <v>46282</v>
      </c>
      <c r="L204" s="3"/>
      <c r="M204" s="3"/>
      <c r="N204" s="3"/>
      <c r="O204" s="3" t="s">
        <v>75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 t="n">
        <v>23</v>
      </c>
      <c r="AC204" s="3" t="n">
        <v>1</v>
      </c>
      <c r="AD204" s="6" t="s">
        <v>46</v>
      </c>
      <c r="AE204" s="3" t="s">
        <v>53</v>
      </c>
      <c r="AF204" s="3"/>
      <c r="AG204" s="3"/>
      <c r="AH204" s="3"/>
      <c r="AI204" s="3"/>
      <c r="AJ204" s="3"/>
      <c r="AK204" s="3"/>
      <c r="AL204" s="7" t="n">
        <f aca="false">IF(A204="","",IF(COUNTIF(A204:A$2001,A204)=1,1,0))</f>
        <v>1</v>
      </c>
      <c r="AM204" s="7" t="n">
        <f aca="true">IF(I204="","",TODAY()-I204)</f>
        <v>11</v>
      </c>
      <c r="AN204" s="7" t="n">
        <f aca="false">IF(A204="","",IF(AND(E204&lt;&gt;"33 確認済",E204&lt;&gt;"36 送付中"),1,0))</f>
        <v>1</v>
      </c>
      <c r="AO204" s="7" t="n">
        <f aca="false">IF(A204="","",IF(AG204&lt;&gt;"",1,0))</f>
        <v>0</v>
      </c>
    </row>
    <row r="205" customFormat="false" ht="15" hidden="false" customHeight="false" outlineLevel="0" collapsed="false">
      <c r="A205" s="3" t="n">
        <v>202660001361</v>
      </c>
      <c r="B205" s="3"/>
      <c r="C205" s="3"/>
      <c r="D205" s="3" t="n">
        <v>32</v>
      </c>
      <c r="E205" s="3" t="s">
        <v>74</v>
      </c>
      <c r="F205" s="3"/>
      <c r="G205" s="3"/>
      <c r="H205" s="4" t="n">
        <v>46203</v>
      </c>
      <c r="I205" s="5" t="n">
        <v>46279</v>
      </c>
      <c r="J205" s="4" t="n">
        <v>46280</v>
      </c>
      <c r="K205" s="4" t="n">
        <v>46282</v>
      </c>
      <c r="L205" s="3"/>
      <c r="M205" s="3"/>
      <c r="N205" s="3"/>
      <c r="O205" s="3" t="s">
        <v>75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 t="n">
        <v>23</v>
      </c>
      <c r="AC205" s="3" t="n">
        <v>1</v>
      </c>
      <c r="AD205" s="6" t="s">
        <v>46</v>
      </c>
      <c r="AE205" s="3" t="s">
        <v>52</v>
      </c>
      <c r="AF205" s="3"/>
      <c r="AG205" s="3"/>
      <c r="AH205" s="3"/>
      <c r="AI205" s="3"/>
      <c r="AJ205" s="3"/>
      <c r="AK205" s="3"/>
      <c r="AL205" s="7" t="n">
        <f aca="false">IF(A205="","",IF(COUNTIF(A205:A$2001,A205)=1,1,0))</f>
        <v>0</v>
      </c>
      <c r="AM205" s="7" t="n">
        <f aca="true">IF(I205="","",TODAY()-I205)</f>
        <v>11</v>
      </c>
      <c r="AN205" s="7" t="n">
        <f aca="false">IF(A205="","",IF(AND(E205&lt;&gt;"33 確認済",E205&lt;&gt;"36 送付中"),1,0))</f>
        <v>1</v>
      </c>
      <c r="AO205" s="7" t="n">
        <f aca="false">IF(A205="","",IF(AG205&lt;&gt;"",1,0))</f>
        <v>0</v>
      </c>
    </row>
    <row r="206" customFormat="false" ht="15" hidden="false" customHeight="false" outlineLevel="0" collapsed="false">
      <c r="A206" s="3" t="n">
        <v>202660001361</v>
      </c>
      <c r="B206" s="3"/>
      <c r="C206" s="3"/>
      <c r="D206" s="3" t="n">
        <v>32</v>
      </c>
      <c r="E206" s="3" t="s">
        <v>74</v>
      </c>
      <c r="F206" s="3"/>
      <c r="G206" s="3"/>
      <c r="H206" s="4" t="n">
        <v>46203</v>
      </c>
      <c r="I206" s="5" t="n">
        <v>46279</v>
      </c>
      <c r="J206" s="4" t="n">
        <v>46280</v>
      </c>
      <c r="K206" s="4" t="n">
        <v>46282</v>
      </c>
      <c r="L206" s="3"/>
      <c r="M206" s="3"/>
      <c r="N206" s="3"/>
      <c r="O206" s="3" t="s">
        <v>75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 t="n">
        <v>23</v>
      </c>
      <c r="AC206" s="3" t="n">
        <v>1</v>
      </c>
      <c r="AD206" s="6" t="s">
        <v>46</v>
      </c>
      <c r="AE206" s="3" t="s">
        <v>53</v>
      </c>
      <c r="AF206" s="3"/>
      <c r="AG206" s="3"/>
      <c r="AH206" s="3"/>
      <c r="AI206" s="3"/>
      <c r="AJ206" s="3"/>
      <c r="AK206" s="3"/>
      <c r="AL206" s="7" t="n">
        <f aca="false">IF(A206="","",IF(COUNTIF(A206:A$2001,A206)=1,1,0))</f>
        <v>1</v>
      </c>
      <c r="AM206" s="7" t="n">
        <f aca="true">IF(I206="","",TODAY()-I206)</f>
        <v>11</v>
      </c>
      <c r="AN206" s="7" t="n">
        <f aca="false">IF(A206="","",IF(AND(E206&lt;&gt;"33 確認済",E206&lt;&gt;"36 送付中"),1,0))</f>
        <v>1</v>
      </c>
      <c r="AO206" s="7" t="n">
        <f aca="false">IF(A206="","",IF(AG206&lt;&gt;"",1,0))</f>
        <v>0</v>
      </c>
    </row>
    <row r="207" customFormat="false" ht="15" hidden="false" customHeight="false" outlineLevel="0" collapsed="false">
      <c r="A207" s="3" t="n">
        <v>202660001362</v>
      </c>
      <c r="B207" s="3"/>
      <c r="C207" s="3"/>
      <c r="D207" s="3" t="n">
        <v>20</v>
      </c>
      <c r="E207" s="3" t="s">
        <v>69</v>
      </c>
      <c r="F207" s="3"/>
      <c r="G207" s="3"/>
      <c r="H207" s="4" t="n">
        <v>46266</v>
      </c>
      <c r="I207" s="5" t="n">
        <v>46288</v>
      </c>
      <c r="J207" s="3"/>
      <c r="K207" s="3"/>
      <c r="L207" s="3"/>
      <c r="M207" s="3"/>
      <c r="N207" s="3"/>
      <c r="O207" s="3" t="s">
        <v>67</v>
      </c>
      <c r="P207" s="6" t="s">
        <v>60</v>
      </c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 t="n">
        <v>22</v>
      </c>
      <c r="AC207" s="3" t="n">
        <v>1</v>
      </c>
      <c r="AD207" s="6" t="s">
        <v>46</v>
      </c>
      <c r="AE207" s="3" t="s">
        <v>47</v>
      </c>
      <c r="AF207" s="3"/>
      <c r="AG207" s="6" t="s">
        <v>46</v>
      </c>
      <c r="AH207" s="3"/>
      <c r="AI207" s="3"/>
      <c r="AJ207" s="3"/>
      <c r="AK207" s="3"/>
      <c r="AL207" s="7" t="n">
        <f aca="false">IF(A207="","",IF(COUNTIF(A207:A$2001,A207)=1,1,0))</f>
        <v>1</v>
      </c>
      <c r="AM207" s="7" t="n">
        <f aca="true">IF(I207="","",TODAY()-I207)</f>
        <v>2</v>
      </c>
      <c r="AN207" s="7" t="n">
        <f aca="false">IF(A207="","",IF(AND(E207&lt;&gt;"33 確認済",E207&lt;&gt;"36 送付中"),1,0))</f>
        <v>1</v>
      </c>
      <c r="AO207" s="7" t="n">
        <f aca="false">IF(A207="","",IF(AG207&lt;&gt;"",1,0))</f>
        <v>1</v>
      </c>
    </row>
    <row r="208" customFormat="false" ht="15" hidden="false" customHeight="false" outlineLevel="0" collapsed="false">
      <c r="A208" s="3" t="n">
        <v>202660001363</v>
      </c>
      <c r="B208" s="3"/>
      <c r="C208" s="3"/>
      <c r="D208" s="3" t="n">
        <v>32</v>
      </c>
      <c r="E208" s="3" t="s">
        <v>74</v>
      </c>
      <c r="F208" s="3"/>
      <c r="G208" s="3"/>
      <c r="H208" s="4" t="n">
        <v>46268</v>
      </c>
      <c r="I208" s="5" t="n">
        <v>46280</v>
      </c>
      <c r="J208" s="4" t="n">
        <v>46282</v>
      </c>
      <c r="K208" s="4" t="n">
        <v>46282</v>
      </c>
      <c r="L208" s="3"/>
      <c r="M208" s="3"/>
      <c r="N208" s="3"/>
      <c r="O208" s="3" t="s">
        <v>75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 t="n">
        <v>21</v>
      </c>
      <c r="AC208" s="3" t="n">
        <v>1</v>
      </c>
      <c r="AD208" s="6" t="s">
        <v>46</v>
      </c>
      <c r="AE208" s="3" t="s">
        <v>55</v>
      </c>
      <c r="AF208" s="6" t="s">
        <v>46</v>
      </c>
      <c r="AG208" s="6" t="s">
        <v>46</v>
      </c>
      <c r="AH208" s="6" t="s">
        <v>46</v>
      </c>
      <c r="AI208" s="3"/>
      <c r="AJ208" s="3"/>
      <c r="AK208" s="3"/>
      <c r="AL208" s="7" t="n">
        <f aca="false">IF(A208="","",IF(COUNTIF(A208:A$2001,A208)=1,1,0))</f>
        <v>1</v>
      </c>
      <c r="AM208" s="7" t="n">
        <f aca="true">IF(I208="","",TODAY()-I208)</f>
        <v>10</v>
      </c>
      <c r="AN208" s="7" t="n">
        <f aca="false">IF(A208="","",IF(AND(E208&lt;&gt;"33 確認済",E208&lt;&gt;"36 送付中"),1,0))</f>
        <v>1</v>
      </c>
      <c r="AO208" s="7" t="n">
        <f aca="false">IF(A208="","",IF(AG208&lt;&gt;"",1,0))</f>
        <v>1</v>
      </c>
    </row>
    <row r="209" customFormat="false" ht="15" hidden="false" customHeight="false" outlineLevel="0" collapsed="false">
      <c r="A209" s="3" t="n">
        <v>202660001364</v>
      </c>
      <c r="B209" s="3"/>
      <c r="C209" s="3"/>
      <c r="D209" s="3" t="n">
        <v>31</v>
      </c>
      <c r="E209" s="3" t="s">
        <v>41</v>
      </c>
      <c r="F209" s="3"/>
      <c r="G209" s="3"/>
      <c r="H209" s="4" t="n">
        <v>46235</v>
      </c>
      <c r="I209" s="5" t="n">
        <v>46279</v>
      </c>
      <c r="J209" s="4" t="n">
        <v>46289</v>
      </c>
      <c r="K209" s="4" t="n">
        <v>46289</v>
      </c>
      <c r="L209" s="3"/>
      <c r="M209" s="3"/>
      <c r="N209" s="3"/>
      <c r="O209" s="3" t="s">
        <v>56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 t="n">
        <v>97</v>
      </c>
      <c r="AC209" s="3" t="n">
        <v>1</v>
      </c>
      <c r="AD209" s="6" t="s">
        <v>46</v>
      </c>
      <c r="AE209" s="3" t="s">
        <v>99</v>
      </c>
      <c r="AF209" s="3"/>
      <c r="AG209" s="6" t="s">
        <v>46</v>
      </c>
      <c r="AH209" s="6" t="s">
        <v>46</v>
      </c>
      <c r="AI209" s="3"/>
      <c r="AJ209" s="3"/>
      <c r="AK209" s="3"/>
      <c r="AL209" s="7" t="n">
        <f aca="false">IF(A209="","",IF(COUNTIF(A209:A$2001,A209)=1,1,0))</f>
        <v>1</v>
      </c>
      <c r="AM209" s="7" t="n">
        <f aca="true">IF(I209="","",TODAY()-I209)</f>
        <v>11</v>
      </c>
      <c r="AN209" s="7" t="n">
        <f aca="false">IF(A209="","",IF(AND(E209&lt;&gt;"33 確認済",E209&lt;&gt;"36 送付中"),1,0))</f>
        <v>1</v>
      </c>
      <c r="AO209" s="7" t="n">
        <f aca="false">IF(A209="","",IF(AG209&lt;&gt;"",1,0))</f>
        <v>1</v>
      </c>
    </row>
    <row r="210" customFormat="false" ht="15" hidden="false" customHeight="false" outlineLevel="0" collapsed="false">
      <c r="A210" s="3" t="n">
        <v>202660001365</v>
      </c>
      <c r="B210" s="3"/>
      <c r="C210" s="3"/>
      <c r="D210" s="3" t="n">
        <v>31</v>
      </c>
      <c r="E210" s="3" t="s">
        <v>41</v>
      </c>
      <c r="F210" s="3" t="n">
        <v>20</v>
      </c>
      <c r="G210" s="3" t="s">
        <v>50</v>
      </c>
      <c r="H210" s="4" t="n">
        <v>46272</v>
      </c>
      <c r="I210" s="5" t="n">
        <v>46279</v>
      </c>
      <c r="J210" s="4" t="n">
        <v>46289</v>
      </c>
      <c r="K210" s="4" t="n">
        <v>46289</v>
      </c>
      <c r="L210" s="3"/>
      <c r="M210" s="3"/>
      <c r="N210" s="3"/>
      <c r="O210" s="3" t="s">
        <v>56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 t="n">
        <v>21</v>
      </c>
      <c r="AC210" s="3" t="n">
        <v>1</v>
      </c>
      <c r="AD210" s="6" t="s">
        <v>46</v>
      </c>
      <c r="AE210" s="3" t="s">
        <v>55</v>
      </c>
      <c r="AF210" s="6" t="s">
        <v>46</v>
      </c>
      <c r="AG210" s="6" t="s">
        <v>46</v>
      </c>
      <c r="AH210" s="6" t="s">
        <v>46</v>
      </c>
      <c r="AI210" s="3"/>
      <c r="AJ210" s="3"/>
      <c r="AK210" s="3"/>
      <c r="AL210" s="7" t="n">
        <f aca="false">IF(A210="","",IF(COUNTIF(A210:A$2001,A210)=1,1,0))</f>
        <v>1</v>
      </c>
      <c r="AM210" s="7" t="n">
        <f aca="true">IF(I210="","",TODAY()-I210)</f>
        <v>11</v>
      </c>
      <c r="AN210" s="7" t="n">
        <f aca="false">IF(A210="","",IF(AND(E210&lt;&gt;"33 確認済",E210&lt;&gt;"36 送付中"),1,0))</f>
        <v>1</v>
      </c>
      <c r="AO210" s="7" t="n">
        <f aca="false">IF(A210="","",IF(AG210&lt;&gt;"",1,0))</f>
        <v>1</v>
      </c>
    </row>
    <row r="211" customFormat="false" ht="15" hidden="false" customHeight="false" outlineLevel="0" collapsed="false">
      <c r="A211" s="3" t="n">
        <v>202660001366</v>
      </c>
      <c r="B211" s="3"/>
      <c r="C211" s="3"/>
      <c r="D211" s="3" t="n">
        <v>31</v>
      </c>
      <c r="E211" s="3" t="s">
        <v>41</v>
      </c>
      <c r="F211" s="3"/>
      <c r="G211" s="3"/>
      <c r="H211" s="4" t="n">
        <v>46271</v>
      </c>
      <c r="I211" s="5" t="n">
        <v>46279</v>
      </c>
      <c r="J211" s="4" t="n">
        <v>46280</v>
      </c>
      <c r="K211" s="4" t="n">
        <v>46282</v>
      </c>
      <c r="L211" s="3"/>
      <c r="M211" s="3"/>
      <c r="N211" s="3"/>
      <c r="O211" s="3" t="s">
        <v>42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 t="n">
        <v>23</v>
      </c>
      <c r="AC211" s="3" t="n">
        <v>1</v>
      </c>
      <c r="AD211" s="6" t="s">
        <v>46</v>
      </c>
      <c r="AE211" s="3" t="s">
        <v>52</v>
      </c>
      <c r="AF211" s="3"/>
      <c r="AG211" s="3"/>
      <c r="AH211" s="3"/>
      <c r="AI211" s="3"/>
      <c r="AJ211" s="3"/>
      <c r="AK211" s="3"/>
      <c r="AL211" s="7" t="n">
        <f aca="false">IF(A211="","",IF(COUNTIF(A211:A$2001,A211)=1,1,0))</f>
        <v>0</v>
      </c>
      <c r="AM211" s="7" t="n">
        <f aca="true">IF(I211="","",TODAY()-I211)</f>
        <v>11</v>
      </c>
      <c r="AN211" s="7" t="n">
        <f aca="false">IF(A211="","",IF(AND(E211&lt;&gt;"33 確認済",E211&lt;&gt;"36 送付中"),1,0))</f>
        <v>1</v>
      </c>
      <c r="AO211" s="7" t="n">
        <f aca="false">IF(A211="","",IF(AG211&lt;&gt;"",1,0))</f>
        <v>0</v>
      </c>
    </row>
    <row r="212" customFormat="false" ht="15" hidden="false" customHeight="false" outlineLevel="0" collapsed="false">
      <c r="A212" s="3" t="n">
        <v>202660001366</v>
      </c>
      <c r="B212" s="3"/>
      <c r="C212" s="3"/>
      <c r="D212" s="3" t="n">
        <v>31</v>
      </c>
      <c r="E212" s="3" t="s">
        <v>41</v>
      </c>
      <c r="F212" s="3"/>
      <c r="G212" s="3"/>
      <c r="H212" s="4" t="n">
        <v>46271</v>
      </c>
      <c r="I212" s="5" t="n">
        <v>46279</v>
      </c>
      <c r="J212" s="4" t="n">
        <v>46280</v>
      </c>
      <c r="K212" s="4" t="n">
        <v>46282</v>
      </c>
      <c r="L212" s="3"/>
      <c r="M212" s="3"/>
      <c r="N212" s="3"/>
      <c r="O212" s="3" t="s">
        <v>42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 t="n">
        <v>23</v>
      </c>
      <c r="AC212" s="3" t="n">
        <v>1</v>
      </c>
      <c r="AD212" s="6" t="s">
        <v>46</v>
      </c>
      <c r="AE212" s="3" t="s">
        <v>53</v>
      </c>
      <c r="AF212" s="3"/>
      <c r="AG212" s="3"/>
      <c r="AH212" s="3"/>
      <c r="AI212" s="3"/>
      <c r="AJ212" s="3"/>
      <c r="AK212" s="3"/>
      <c r="AL212" s="7" t="n">
        <f aca="false">IF(A212="","",IF(COUNTIF(A212:A$2001,A212)=1,1,0))</f>
        <v>1</v>
      </c>
      <c r="AM212" s="7" t="n">
        <f aca="true">IF(I212="","",TODAY()-I212)</f>
        <v>11</v>
      </c>
      <c r="AN212" s="7" t="n">
        <f aca="false">IF(A212="","",IF(AND(E212&lt;&gt;"33 確認済",E212&lt;&gt;"36 送付中"),1,0))</f>
        <v>1</v>
      </c>
      <c r="AO212" s="7" t="n">
        <f aca="false">IF(A212="","",IF(AG212&lt;&gt;"",1,0))</f>
        <v>0</v>
      </c>
    </row>
    <row r="213" customFormat="false" ht="15" hidden="false" customHeight="false" outlineLevel="0" collapsed="false">
      <c r="A213" s="3" t="n">
        <v>202660001368</v>
      </c>
      <c r="B213" s="3"/>
      <c r="C213" s="3"/>
      <c r="D213" s="3" t="n">
        <v>31</v>
      </c>
      <c r="E213" s="3" t="s">
        <v>41</v>
      </c>
      <c r="F213" s="3"/>
      <c r="G213" s="3"/>
      <c r="H213" s="4" t="n">
        <v>46275</v>
      </c>
      <c r="I213" s="5" t="n">
        <v>46279</v>
      </c>
      <c r="J213" s="4" t="n">
        <v>46280</v>
      </c>
      <c r="K213" s="4" t="n">
        <v>46283</v>
      </c>
      <c r="L213" s="3"/>
      <c r="M213" s="3"/>
      <c r="N213" s="3"/>
      <c r="O213" s="3" t="s">
        <v>42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 t="n">
        <v>23</v>
      </c>
      <c r="AC213" s="3" t="n">
        <v>1</v>
      </c>
      <c r="AD213" s="6" t="s">
        <v>46</v>
      </c>
      <c r="AE213" s="3" t="s">
        <v>52</v>
      </c>
      <c r="AF213" s="3"/>
      <c r="AG213" s="3"/>
      <c r="AH213" s="3"/>
      <c r="AI213" s="3"/>
      <c r="AJ213" s="3"/>
      <c r="AK213" s="3"/>
      <c r="AL213" s="7" t="n">
        <f aca="false">IF(A213="","",IF(COUNTIF(A213:A$2001,A213)=1,1,0))</f>
        <v>0</v>
      </c>
      <c r="AM213" s="7" t="n">
        <f aca="true">IF(I213="","",TODAY()-I213)</f>
        <v>11</v>
      </c>
      <c r="AN213" s="7" t="n">
        <f aca="false">IF(A213="","",IF(AND(E213&lt;&gt;"33 確認済",E213&lt;&gt;"36 送付中"),1,0))</f>
        <v>1</v>
      </c>
      <c r="AO213" s="7" t="n">
        <f aca="false">IF(A213="","",IF(AG213&lt;&gt;"",1,0))</f>
        <v>0</v>
      </c>
    </row>
    <row r="214" customFormat="false" ht="15" hidden="false" customHeight="false" outlineLevel="0" collapsed="false">
      <c r="A214" s="3" t="n">
        <v>202660001368</v>
      </c>
      <c r="B214" s="3"/>
      <c r="C214" s="3"/>
      <c r="D214" s="3" t="n">
        <v>31</v>
      </c>
      <c r="E214" s="3" t="s">
        <v>41</v>
      </c>
      <c r="F214" s="3"/>
      <c r="G214" s="3"/>
      <c r="H214" s="4" t="n">
        <v>46275</v>
      </c>
      <c r="I214" s="5" t="n">
        <v>46279</v>
      </c>
      <c r="J214" s="4" t="n">
        <v>46280</v>
      </c>
      <c r="K214" s="4" t="n">
        <v>46283</v>
      </c>
      <c r="L214" s="3"/>
      <c r="M214" s="3"/>
      <c r="N214" s="3"/>
      <c r="O214" s="3" t="s">
        <v>42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 t="n">
        <v>23</v>
      </c>
      <c r="AC214" s="3" t="n">
        <v>1</v>
      </c>
      <c r="AD214" s="6" t="s">
        <v>46</v>
      </c>
      <c r="AE214" s="3" t="s">
        <v>53</v>
      </c>
      <c r="AF214" s="3"/>
      <c r="AG214" s="3"/>
      <c r="AH214" s="3"/>
      <c r="AI214" s="3"/>
      <c r="AJ214" s="3"/>
      <c r="AK214" s="3"/>
      <c r="AL214" s="7" t="n">
        <f aca="false">IF(A214="","",IF(COUNTIF(A214:A$2001,A214)=1,1,0))</f>
        <v>1</v>
      </c>
      <c r="AM214" s="7" t="n">
        <f aca="true">IF(I214="","",TODAY()-I214)</f>
        <v>11</v>
      </c>
      <c r="AN214" s="7" t="n">
        <f aca="false">IF(A214="","",IF(AND(E214&lt;&gt;"33 確認済",E214&lt;&gt;"36 送付中"),1,0))</f>
        <v>1</v>
      </c>
      <c r="AO214" s="7" t="n">
        <f aca="false">IF(A214="","",IF(AG214&lt;&gt;"",1,0))</f>
        <v>0</v>
      </c>
    </row>
    <row r="215" customFormat="false" ht="15" hidden="false" customHeight="false" outlineLevel="0" collapsed="false">
      <c r="A215" s="3" t="n">
        <v>202660001369</v>
      </c>
      <c r="B215" s="3"/>
      <c r="C215" s="3"/>
      <c r="D215" s="3" t="n">
        <v>31</v>
      </c>
      <c r="E215" s="3" t="s">
        <v>41</v>
      </c>
      <c r="F215" s="3"/>
      <c r="G215" s="3"/>
      <c r="H215" s="4" t="n">
        <v>46277</v>
      </c>
      <c r="I215" s="5" t="n">
        <v>46279</v>
      </c>
      <c r="J215" s="4" t="n">
        <v>46283</v>
      </c>
      <c r="K215" s="4" t="n">
        <v>46283</v>
      </c>
      <c r="L215" s="3"/>
      <c r="M215" s="3"/>
      <c r="N215" s="3"/>
      <c r="O215" s="3" t="s">
        <v>42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 t="n">
        <v>21</v>
      </c>
      <c r="AC215" s="3" t="n">
        <v>1</v>
      </c>
      <c r="AD215" s="6" t="s">
        <v>46</v>
      </c>
      <c r="AE215" s="3" t="s">
        <v>55</v>
      </c>
      <c r="AF215" s="6" t="s">
        <v>46</v>
      </c>
      <c r="AG215" s="6" t="s">
        <v>46</v>
      </c>
      <c r="AH215" s="6" t="s">
        <v>46</v>
      </c>
      <c r="AI215" s="3"/>
      <c r="AJ215" s="3"/>
      <c r="AK215" s="3"/>
      <c r="AL215" s="7" t="n">
        <f aca="false">IF(A215="","",IF(COUNTIF(A215:A$2001,A215)=1,1,0))</f>
        <v>1</v>
      </c>
      <c r="AM215" s="7" t="n">
        <f aca="true">IF(I215="","",TODAY()-I215)</f>
        <v>11</v>
      </c>
      <c r="AN215" s="7" t="n">
        <f aca="false">IF(A215="","",IF(AND(E215&lt;&gt;"33 確認済",E215&lt;&gt;"36 送付中"),1,0))</f>
        <v>1</v>
      </c>
      <c r="AO215" s="7" t="n">
        <f aca="false">IF(A215="","",IF(AG215&lt;&gt;"",1,0))</f>
        <v>1</v>
      </c>
    </row>
    <row r="216" customFormat="false" ht="15" hidden="false" customHeight="false" outlineLevel="0" collapsed="false">
      <c r="A216" s="3" t="n">
        <v>202660001370</v>
      </c>
      <c r="B216" s="3"/>
      <c r="C216" s="3"/>
      <c r="D216" s="3" t="n">
        <v>20</v>
      </c>
      <c r="E216" s="3" t="s">
        <v>69</v>
      </c>
      <c r="F216" s="3"/>
      <c r="G216" s="3"/>
      <c r="H216" s="4" t="n">
        <v>46283</v>
      </c>
      <c r="I216" s="5" t="n">
        <v>46283</v>
      </c>
      <c r="J216" s="3"/>
      <c r="K216" s="3"/>
      <c r="L216" s="3"/>
      <c r="M216" s="3"/>
      <c r="N216" s="3"/>
      <c r="O216" s="3" t="s">
        <v>67</v>
      </c>
      <c r="P216" s="6" t="s">
        <v>60</v>
      </c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 t="n">
        <v>25</v>
      </c>
      <c r="AC216" s="3" t="n">
        <v>1</v>
      </c>
      <c r="AD216" s="6" t="s">
        <v>46</v>
      </c>
      <c r="AE216" s="3" t="s">
        <v>54</v>
      </c>
      <c r="AF216" s="6" t="s">
        <v>46</v>
      </c>
      <c r="AG216" s="3"/>
      <c r="AH216" s="6" t="s">
        <v>46</v>
      </c>
      <c r="AI216" s="3"/>
      <c r="AJ216" s="3"/>
      <c r="AK216" s="3"/>
      <c r="AL216" s="7" t="n">
        <f aca="false">IF(A216="","",IF(COUNTIF(A216:A$2001,A216)=1,1,0))</f>
        <v>1</v>
      </c>
      <c r="AM216" s="7" t="n">
        <f aca="true">IF(I216="","",TODAY()-I216)</f>
        <v>7</v>
      </c>
      <c r="AN216" s="7" t="n">
        <f aca="false">IF(A216="","",IF(AND(E216&lt;&gt;"33 確認済",E216&lt;&gt;"36 送付中"),1,0))</f>
        <v>1</v>
      </c>
      <c r="AO216" s="7" t="n">
        <f aca="false">IF(A216="","",IF(AG216&lt;&gt;"",1,0))</f>
        <v>0</v>
      </c>
    </row>
    <row r="217" customFormat="false" ht="15" hidden="false" customHeight="false" outlineLevel="0" collapsed="false">
      <c r="A217" s="3" t="n">
        <v>202660001371</v>
      </c>
      <c r="B217" s="3"/>
      <c r="C217" s="3"/>
      <c r="D217" s="3" t="n">
        <v>31</v>
      </c>
      <c r="E217" s="3" t="s">
        <v>41</v>
      </c>
      <c r="F217" s="3"/>
      <c r="G217" s="3"/>
      <c r="H217" s="4" t="n">
        <v>46242</v>
      </c>
      <c r="I217" s="5" t="n">
        <v>46280</v>
      </c>
      <c r="J217" s="4" t="n">
        <v>46280</v>
      </c>
      <c r="K217" s="4" t="n">
        <v>46283</v>
      </c>
      <c r="L217" s="3"/>
      <c r="M217" s="3"/>
      <c r="N217" s="3"/>
      <c r="O217" s="3" t="s">
        <v>42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 t="n">
        <v>23</v>
      </c>
      <c r="AC217" s="3" t="n">
        <v>1</v>
      </c>
      <c r="AD217" s="6" t="s">
        <v>46</v>
      </c>
      <c r="AE217" s="3" t="s">
        <v>52</v>
      </c>
      <c r="AF217" s="3"/>
      <c r="AG217" s="3"/>
      <c r="AH217" s="3"/>
      <c r="AI217" s="3"/>
      <c r="AJ217" s="3"/>
      <c r="AK217" s="3"/>
      <c r="AL217" s="7" t="n">
        <f aca="false">IF(A217="","",IF(COUNTIF(A217:A$2001,A217)=1,1,0))</f>
        <v>0</v>
      </c>
      <c r="AM217" s="7" t="n">
        <f aca="true">IF(I217="","",TODAY()-I217)</f>
        <v>10</v>
      </c>
      <c r="AN217" s="7" t="n">
        <f aca="false">IF(A217="","",IF(AND(E217&lt;&gt;"33 確認済",E217&lt;&gt;"36 送付中"),1,0))</f>
        <v>1</v>
      </c>
      <c r="AO217" s="7" t="n">
        <f aca="false">IF(A217="","",IF(AG217&lt;&gt;"",1,0))</f>
        <v>0</v>
      </c>
    </row>
    <row r="218" customFormat="false" ht="15" hidden="false" customHeight="false" outlineLevel="0" collapsed="false">
      <c r="A218" s="3" t="n">
        <v>202660001371</v>
      </c>
      <c r="B218" s="3"/>
      <c r="C218" s="3"/>
      <c r="D218" s="3" t="n">
        <v>31</v>
      </c>
      <c r="E218" s="3" t="s">
        <v>41</v>
      </c>
      <c r="F218" s="3"/>
      <c r="G218" s="3"/>
      <c r="H218" s="4" t="n">
        <v>46242</v>
      </c>
      <c r="I218" s="5" t="n">
        <v>46280</v>
      </c>
      <c r="J218" s="4" t="n">
        <v>46280</v>
      </c>
      <c r="K218" s="4" t="n">
        <v>46283</v>
      </c>
      <c r="L218" s="3"/>
      <c r="M218" s="3"/>
      <c r="N218" s="3"/>
      <c r="O218" s="3" t="s">
        <v>42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 t="n">
        <v>23</v>
      </c>
      <c r="AC218" s="3" t="n">
        <v>1</v>
      </c>
      <c r="AD218" s="6" t="s">
        <v>46</v>
      </c>
      <c r="AE218" s="3" t="s">
        <v>53</v>
      </c>
      <c r="AF218" s="3"/>
      <c r="AG218" s="3"/>
      <c r="AH218" s="3"/>
      <c r="AI218" s="3"/>
      <c r="AJ218" s="3"/>
      <c r="AK218" s="3"/>
      <c r="AL218" s="7" t="n">
        <f aca="false">IF(A218="","",IF(COUNTIF(A218:A$2001,A218)=1,1,0))</f>
        <v>1</v>
      </c>
      <c r="AM218" s="7" t="n">
        <f aca="true">IF(I218="","",TODAY()-I218)</f>
        <v>10</v>
      </c>
      <c r="AN218" s="7" t="n">
        <f aca="false">IF(A218="","",IF(AND(E218&lt;&gt;"33 確認済",E218&lt;&gt;"36 送付中"),1,0))</f>
        <v>1</v>
      </c>
      <c r="AO218" s="7" t="n">
        <f aca="false">IF(A218="","",IF(AG218&lt;&gt;"",1,0))</f>
        <v>0</v>
      </c>
    </row>
    <row r="219" customFormat="false" ht="15" hidden="false" customHeight="false" outlineLevel="0" collapsed="false">
      <c r="A219" s="3" t="n">
        <v>202660001373</v>
      </c>
      <c r="B219" s="3"/>
      <c r="C219" s="3"/>
      <c r="D219" s="3" t="n">
        <v>31</v>
      </c>
      <c r="E219" s="3" t="s">
        <v>41</v>
      </c>
      <c r="F219" s="3"/>
      <c r="G219" s="3"/>
      <c r="H219" s="4" t="n">
        <v>46279</v>
      </c>
      <c r="I219" s="5" t="n">
        <v>46280</v>
      </c>
      <c r="J219" s="4" t="n">
        <v>46280</v>
      </c>
      <c r="K219" s="4" t="n">
        <v>46283</v>
      </c>
      <c r="L219" s="3"/>
      <c r="M219" s="3"/>
      <c r="N219" s="3"/>
      <c r="O219" s="3" t="s">
        <v>42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 t="n">
        <v>23</v>
      </c>
      <c r="AC219" s="3" t="n">
        <v>1</v>
      </c>
      <c r="AD219" s="6" t="s">
        <v>46</v>
      </c>
      <c r="AE219" s="3" t="s">
        <v>52</v>
      </c>
      <c r="AF219" s="3"/>
      <c r="AG219" s="3"/>
      <c r="AH219" s="3"/>
      <c r="AI219" s="3"/>
      <c r="AJ219" s="3"/>
      <c r="AK219" s="3"/>
      <c r="AL219" s="7" t="n">
        <f aca="false">IF(A219="","",IF(COUNTIF(A219:A$2001,A219)=1,1,0))</f>
        <v>0</v>
      </c>
      <c r="AM219" s="7" t="n">
        <f aca="true">IF(I219="","",TODAY()-I219)</f>
        <v>10</v>
      </c>
      <c r="AN219" s="7" t="n">
        <f aca="false">IF(A219="","",IF(AND(E219&lt;&gt;"33 確認済",E219&lt;&gt;"36 送付中"),1,0))</f>
        <v>1</v>
      </c>
      <c r="AO219" s="7" t="n">
        <f aca="false">IF(A219="","",IF(AG219&lt;&gt;"",1,0))</f>
        <v>0</v>
      </c>
    </row>
    <row r="220" customFormat="false" ht="15" hidden="false" customHeight="false" outlineLevel="0" collapsed="false">
      <c r="A220" s="3" t="n">
        <v>202660001373</v>
      </c>
      <c r="B220" s="3"/>
      <c r="C220" s="3"/>
      <c r="D220" s="3" t="n">
        <v>31</v>
      </c>
      <c r="E220" s="3" t="s">
        <v>41</v>
      </c>
      <c r="F220" s="3"/>
      <c r="G220" s="3"/>
      <c r="H220" s="4" t="n">
        <v>46279</v>
      </c>
      <c r="I220" s="5" t="n">
        <v>46280</v>
      </c>
      <c r="J220" s="4" t="n">
        <v>46280</v>
      </c>
      <c r="K220" s="4" t="n">
        <v>46283</v>
      </c>
      <c r="L220" s="3"/>
      <c r="M220" s="3"/>
      <c r="N220" s="3"/>
      <c r="O220" s="3" t="s">
        <v>42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 t="n">
        <v>23</v>
      </c>
      <c r="AC220" s="3" t="n">
        <v>1</v>
      </c>
      <c r="AD220" s="6" t="s">
        <v>46</v>
      </c>
      <c r="AE220" s="3" t="s">
        <v>53</v>
      </c>
      <c r="AF220" s="3"/>
      <c r="AG220" s="3"/>
      <c r="AH220" s="3"/>
      <c r="AI220" s="3"/>
      <c r="AJ220" s="3"/>
      <c r="AK220" s="3"/>
      <c r="AL220" s="7" t="n">
        <f aca="false">IF(A220="","",IF(COUNTIF(A220:A$2001,A220)=1,1,0))</f>
        <v>1</v>
      </c>
      <c r="AM220" s="7" t="n">
        <f aca="true">IF(I220="","",TODAY()-I220)</f>
        <v>10</v>
      </c>
      <c r="AN220" s="7" t="n">
        <f aca="false">IF(A220="","",IF(AND(E220&lt;&gt;"33 確認済",E220&lt;&gt;"36 送付中"),1,0))</f>
        <v>1</v>
      </c>
      <c r="AO220" s="7" t="n">
        <f aca="false">IF(A220="","",IF(AG220&lt;&gt;"",1,0))</f>
        <v>0</v>
      </c>
    </row>
    <row r="221" customFormat="false" ht="15" hidden="false" customHeight="false" outlineLevel="0" collapsed="false">
      <c r="A221" s="3" t="n">
        <v>202660001375</v>
      </c>
      <c r="B221" s="3"/>
      <c r="C221" s="3"/>
      <c r="D221" s="3" t="n">
        <v>31</v>
      </c>
      <c r="E221" s="3" t="s">
        <v>41</v>
      </c>
      <c r="F221" s="3"/>
      <c r="G221" s="3"/>
      <c r="H221" s="4" t="n">
        <v>46271</v>
      </c>
      <c r="I221" s="5" t="n">
        <v>46280</v>
      </c>
      <c r="J221" s="4" t="n">
        <v>46283</v>
      </c>
      <c r="K221" s="4" t="n">
        <v>46283</v>
      </c>
      <c r="L221" s="3"/>
      <c r="M221" s="3"/>
      <c r="N221" s="3"/>
      <c r="O221" s="3" t="s">
        <v>56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 t="n">
        <v>21</v>
      </c>
      <c r="AC221" s="3" t="n">
        <v>1</v>
      </c>
      <c r="AD221" s="6" t="s">
        <v>46</v>
      </c>
      <c r="AE221" s="3" t="s">
        <v>55</v>
      </c>
      <c r="AF221" s="6" t="s">
        <v>46</v>
      </c>
      <c r="AG221" s="6" t="s">
        <v>46</v>
      </c>
      <c r="AH221" s="6" t="s">
        <v>46</v>
      </c>
      <c r="AI221" s="3"/>
      <c r="AJ221" s="3"/>
      <c r="AK221" s="3"/>
      <c r="AL221" s="7" t="n">
        <f aca="false">IF(A221="","",IF(COUNTIF(A221:A$2001,A221)=1,1,0))</f>
        <v>1</v>
      </c>
      <c r="AM221" s="7" t="n">
        <f aca="true">IF(I221="","",TODAY()-I221)</f>
        <v>10</v>
      </c>
      <c r="AN221" s="7" t="n">
        <f aca="false">IF(A221="","",IF(AND(E221&lt;&gt;"33 確認済",E221&lt;&gt;"36 送付中"),1,0))</f>
        <v>1</v>
      </c>
      <c r="AO221" s="7" t="n">
        <f aca="false">IF(A221="","",IF(AG221&lt;&gt;"",1,0))</f>
        <v>1</v>
      </c>
    </row>
    <row r="222" customFormat="false" ht="15" hidden="false" customHeight="false" outlineLevel="0" collapsed="false">
      <c r="A222" s="3" t="n">
        <v>202660001376</v>
      </c>
      <c r="B222" s="3"/>
      <c r="C222" s="3"/>
      <c r="D222" s="3" t="n">
        <v>31</v>
      </c>
      <c r="E222" s="3" t="s">
        <v>41</v>
      </c>
      <c r="F222" s="3"/>
      <c r="G222" s="3"/>
      <c r="H222" s="4" t="n">
        <v>46203</v>
      </c>
      <c r="I222" s="5" t="n">
        <v>46280</v>
      </c>
      <c r="J222" s="4" t="n">
        <v>46281</v>
      </c>
      <c r="K222" s="4" t="n">
        <v>46283</v>
      </c>
      <c r="L222" s="3"/>
      <c r="M222" s="3"/>
      <c r="N222" s="3"/>
      <c r="O222" s="3" t="s">
        <v>42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 t="n">
        <v>23</v>
      </c>
      <c r="AC222" s="3" t="n">
        <v>1</v>
      </c>
      <c r="AD222" s="6" t="s">
        <v>46</v>
      </c>
      <c r="AE222" s="3" t="s">
        <v>52</v>
      </c>
      <c r="AF222" s="3"/>
      <c r="AG222" s="3"/>
      <c r="AH222" s="3"/>
      <c r="AI222" s="3"/>
      <c r="AJ222" s="3"/>
      <c r="AK222" s="3"/>
      <c r="AL222" s="7" t="n">
        <f aca="false">IF(A222="","",IF(COUNTIF(A222:A$2001,A222)=1,1,0))</f>
        <v>0</v>
      </c>
      <c r="AM222" s="7" t="n">
        <f aca="true">IF(I222="","",TODAY()-I222)</f>
        <v>10</v>
      </c>
      <c r="AN222" s="7" t="n">
        <f aca="false">IF(A222="","",IF(AND(E222&lt;&gt;"33 確認済",E222&lt;&gt;"36 送付中"),1,0))</f>
        <v>1</v>
      </c>
      <c r="AO222" s="7" t="n">
        <f aca="false">IF(A222="","",IF(AG222&lt;&gt;"",1,0))</f>
        <v>0</v>
      </c>
    </row>
    <row r="223" customFormat="false" ht="15" hidden="false" customHeight="false" outlineLevel="0" collapsed="false">
      <c r="A223" s="3" t="n">
        <v>202660001376</v>
      </c>
      <c r="B223" s="3"/>
      <c r="C223" s="3"/>
      <c r="D223" s="3" t="n">
        <v>31</v>
      </c>
      <c r="E223" s="3" t="s">
        <v>41</v>
      </c>
      <c r="F223" s="3"/>
      <c r="G223" s="3"/>
      <c r="H223" s="4" t="n">
        <v>46203</v>
      </c>
      <c r="I223" s="5" t="n">
        <v>46280</v>
      </c>
      <c r="J223" s="4" t="n">
        <v>46281</v>
      </c>
      <c r="K223" s="4" t="n">
        <v>46283</v>
      </c>
      <c r="L223" s="3"/>
      <c r="M223" s="3"/>
      <c r="N223" s="3"/>
      <c r="O223" s="3" t="s">
        <v>42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 t="n">
        <v>23</v>
      </c>
      <c r="AC223" s="3" t="n">
        <v>1</v>
      </c>
      <c r="AD223" s="6" t="s">
        <v>46</v>
      </c>
      <c r="AE223" s="3" t="s">
        <v>53</v>
      </c>
      <c r="AF223" s="3"/>
      <c r="AG223" s="3"/>
      <c r="AH223" s="3"/>
      <c r="AI223" s="3"/>
      <c r="AJ223" s="3"/>
      <c r="AK223" s="3"/>
      <c r="AL223" s="7" t="n">
        <f aca="false">IF(A223="","",IF(COUNTIF(A223:A$2001,A223)=1,1,0))</f>
        <v>1</v>
      </c>
      <c r="AM223" s="7" t="n">
        <f aca="true">IF(I223="","",TODAY()-I223)</f>
        <v>10</v>
      </c>
      <c r="AN223" s="7" t="n">
        <f aca="false">IF(A223="","",IF(AND(E223&lt;&gt;"33 確認済",E223&lt;&gt;"36 送付中"),1,0))</f>
        <v>1</v>
      </c>
      <c r="AO223" s="7" t="n">
        <f aca="false">IF(A223="","",IF(AG223&lt;&gt;"",1,0))</f>
        <v>0</v>
      </c>
    </row>
    <row r="224" customFormat="false" ht="15" hidden="false" customHeight="false" outlineLevel="0" collapsed="false">
      <c r="A224" s="3" t="n">
        <v>202660001377</v>
      </c>
      <c r="B224" s="3"/>
      <c r="C224" s="3"/>
      <c r="D224" s="3" t="n">
        <v>20</v>
      </c>
      <c r="E224" s="3" t="s">
        <v>69</v>
      </c>
      <c r="F224" s="3"/>
      <c r="G224" s="3"/>
      <c r="H224" s="4" t="n">
        <v>46266</v>
      </c>
      <c r="I224" s="5" t="n">
        <v>46280</v>
      </c>
      <c r="J224" s="3"/>
      <c r="K224" s="3"/>
      <c r="L224" s="3"/>
      <c r="M224" s="3"/>
      <c r="N224" s="3"/>
      <c r="O224" s="3" t="s">
        <v>67</v>
      </c>
      <c r="P224" s="6" t="s">
        <v>60</v>
      </c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 t="n">
        <v>22</v>
      </c>
      <c r="AC224" s="3" t="n">
        <v>1</v>
      </c>
      <c r="AD224" s="6" t="s">
        <v>46</v>
      </c>
      <c r="AE224" s="3" t="s">
        <v>47</v>
      </c>
      <c r="AF224" s="6" t="s">
        <v>46</v>
      </c>
      <c r="AG224" s="6" t="s">
        <v>46</v>
      </c>
      <c r="AH224" s="3"/>
      <c r="AI224" s="3"/>
      <c r="AJ224" s="3"/>
      <c r="AK224" s="3"/>
      <c r="AL224" s="7" t="n">
        <f aca="false">IF(A224="","",IF(COUNTIF(A224:A$2001,A224)=1,1,0))</f>
        <v>1</v>
      </c>
      <c r="AM224" s="7" t="n">
        <f aca="true">IF(I224="","",TODAY()-I224)</f>
        <v>10</v>
      </c>
      <c r="AN224" s="7" t="n">
        <f aca="false">IF(A224="","",IF(AND(E224&lt;&gt;"33 確認済",E224&lt;&gt;"36 送付中"),1,0))</f>
        <v>1</v>
      </c>
      <c r="AO224" s="7" t="n">
        <f aca="false">IF(A224="","",IF(AG224&lt;&gt;"",1,0))</f>
        <v>1</v>
      </c>
    </row>
    <row r="225" customFormat="false" ht="15" hidden="false" customHeight="false" outlineLevel="0" collapsed="false">
      <c r="A225" s="3" t="n">
        <v>202660001378</v>
      </c>
      <c r="B225" s="3"/>
      <c r="C225" s="3"/>
      <c r="D225" s="3" t="n">
        <v>40</v>
      </c>
      <c r="E225" s="3" t="s">
        <v>49</v>
      </c>
      <c r="F225" s="3" t="n">
        <v>20</v>
      </c>
      <c r="G225" s="3" t="s">
        <v>50</v>
      </c>
      <c r="H225" s="4" t="n">
        <v>46266</v>
      </c>
      <c r="I225" s="5" t="n">
        <v>46280</v>
      </c>
      <c r="J225" s="4" t="n">
        <v>46281</v>
      </c>
      <c r="K225" s="4" t="n">
        <v>46282</v>
      </c>
      <c r="L225" s="3"/>
      <c r="M225" s="3"/>
      <c r="N225" s="3"/>
      <c r="O225" s="3" t="s">
        <v>62</v>
      </c>
      <c r="P225" s="3"/>
      <c r="Q225" s="3"/>
      <c r="R225" s="3"/>
      <c r="S225" s="3"/>
      <c r="T225" s="3"/>
      <c r="U225" s="3"/>
      <c r="V225" s="3"/>
      <c r="W225" s="6" t="s">
        <v>63</v>
      </c>
      <c r="X225" s="3"/>
      <c r="Y225" s="3"/>
      <c r="Z225" s="3"/>
      <c r="AA225" s="3"/>
      <c r="AB225" s="3" t="n">
        <v>51</v>
      </c>
      <c r="AC225" s="3" t="n">
        <v>0</v>
      </c>
      <c r="AD225" s="6" t="s">
        <v>43</v>
      </c>
      <c r="AE225" s="3" t="s">
        <v>72</v>
      </c>
      <c r="AF225" s="6" t="s">
        <v>43</v>
      </c>
      <c r="AG225" s="6" t="s">
        <v>43</v>
      </c>
      <c r="AH225" s="6" t="s">
        <v>43</v>
      </c>
      <c r="AI225" s="3"/>
      <c r="AJ225" s="3"/>
      <c r="AK225" s="3"/>
      <c r="AL225" s="7" t="n">
        <f aca="false">IF(A225="","",IF(COUNTIF(A225:A$2001,A225)=1,1,0))</f>
        <v>1</v>
      </c>
      <c r="AM225" s="7" t="n">
        <f aca="true">IF(I225="","",TODAY()-I225)</f>
        <v>10</v>
      </c>
      <c r="AN225" s="7" t="n">
        <f aca="false">IF(A225="","",IF(AND(E225&lt;&gt;"33 確認済",E225&lt;&gt;"36 送付中"),1,0))</f>
        <v>1</v>
      </c>
      <c r="AO225" s="7" t="n">
        <f aca="false">IF(A225="","",IF(AG225&lt;&gt;"",1,0))</f>
        <v>1</v>
      </c>
    </row>
    <row r="226" customFormat="false" ht="15" hidden="false" customHeight="false" outlineLevel="0" collapsed="false">
      <c r="A226" s="3" t="n">
        <v>202660001379</v>
      </c>
      <c r="B226" s="3"/>
      <c r="C226" s="3"/>
      <c r="D226" s="3" t="n">
        <v>31</v>
      </c>
      <c r="E226" s="3" t="s">
        <v>41</v>
      </c>
      <c r="F226" s="3"/>
      <c r="G226" s="3"/>
      <c r="H226" s="4" t="n">
        <v>46242</v>
      </c>
      <c r="I226" s="5" t="n">
        <v>46280</v>
      </c>
      <c r="J226" s="4" t="n">
        <v>46281</v>
      </c>
      <c r="K226" s="4" t="n">
        <v>46283</v>
      </c>
      <c r="L226" s="3"/>
      <c r="M226" s="3"/>
      <c r="N226" s="3"/>
      <c r="O226" s="3" t="s">
        <v>42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 t="n">
        <v>23</v>
      </c>
      <c r="AC226" s="3" t="n">
        <v>1</v>
      </c>
      <c r="AD226" s="6" t="s">
        <v>46</v>
      </c>
      <c r="AE226" s="3" t="s">
        <v>52</v>
      </c>
      <c r="AF226" s="3"/>
      <c r="AG226" s="3"/>
      <c r="AH226" s="3"/>
      <c r="AI226" s="3"/>
      <c r="AJ226" s="3"/>
      <c r="AK226" s="3"/>
      <c r="AL226" s="7" t="n">
        <f aca="false">IF(A226="","",IF(COUNTIF(A226:A$2001,A226)=1,1,0))</f>
        <v>0</v>
      </c>
      <c r="AM226" s="7" t="n">
        <f aca="true">IF(I226="","",TODAY()-I226)</f>
        <v>10</v>
      </c>
      <c r="AN226" s="7" t="n">
        <f aca="false">IF(A226="","",IF(AND(E226&lt;&gt;"33 確認済",E226&lt;&gt;"36 送付中"),1,0))</f>
        <v>1</v>
      </c>
      <c r="AO226" s="7" t="n">
        <f aca="false">IF(A226="","",IF(AG226&lt;&gt;"",1,0))</f>
        <v>0</v>
      </c>
    </row>
    <row r="227" customFormat="false" ht="15" hidden="false" customHeight="false" outlineLevel="0" collapsed="false">
      <c r="A227" s="3" t="n">
        <v>202660001379</v>
      </c>
      <c r="B227" s="3"/>
      <c r="C227" s="3"/>
      <c r="D227" s="3" t="n">
        <v>31</v>
      </c>
      <c r="E227" s="3" t="s">
        <v>41</v>
      </c>
      <c r="F227" s="3"/>
      <c r="G227" s="3"/>
      <c r="H227" s="4" t="n">
        <v>46242</v>
      </c>
      <c r="I227" s="5" t="n">
        <v>46280</v>
      </c>
      <c r="J227" s="4" t="n">
        <v>46281</v>
      </c>
      <c r="K227" s="4" t="n">
        <v>46283</v>
      </c>
      <c r="L227" s="3"/>
      <c r="M227" s="3"/>
      <c r="N227" s="3"/>
      <c r="O227" s="3" t="s">
        <v>42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 t="n">
        <v>23</v>
      </c>
      <c r="AC227" s="3" t="n">
        <v>1</v>
      </c>
      <c r="AD227" s="6" t="s">
        <v>46</v>
      </c>
      <c r="AE227" s="3" t="s">
        <v>53</v>
      </c>
      <c r="AF227" s="3"/>
      <c r="AG227" s="3"/>
      <c r="AH227" s="3"/>
      <c r="AI227" s="3"/>
      <c r="AJ227" s="3"/>
      <c r="AK227" s="3"/>
      <c r="AL227" s="7" t="n">
        <f aca="false">IF(A227="","",IF(COUNTIF(A227:A$2001,A227)=1,1,0))</f>
        <v>1</v>
      </c>
      <c r="AM227" s="7" t="n">
        <f aca="true">IF(I227="","",TODAY()-I227)</f>
        <v>10</v>
      </c>
      <c r="AN227" s="7" t="n">
        <f aca="false">IF(A227="","",IF(AND(E227&lt;&gt;"33 確認済",E227&lt;&gt;"36 送付中"),1,0))</f>
        <v>1</v>
      </c>
      <c r="AO227" s="7" t="n">
        <f aca="false">IF(A227="","",IF(AG227&lt;&gt;"",1,0))</f>
        <v>0</v>
      </c>
    </row>
    <row r="228" customFormat="false" ht="15" hidden="false" customHeight="false" outlineLevel="0" collapsed="false">
      <c r="A228" s="3" t="n">
        <v>202660001380</v>
      </c>
      <c r="B228" s="3"/>
      <c r="C228" s="3"/>
      <c r="D228" s="3" t="n">
        <v>31</v>
      </c>
      <c r="E228" s="3" t="s">
        <v>41</v>
      </c>
      <c r="F228" s="3"/>
      <c r="G228" s="3"/>
      <c r="H228" s="4" t="n">
        <v>46271</v>
      </c>
      <c r="I228" s="5" t="n">
        <v>46280</v>
      </c>
      <c r="J228" s="4" t="n">
        <v>46281</v>
      </c>
      <c r="K228" s="4" t="n">
        <v>46283</v>
      </c>
      <c r="L228" s="3"/>
      <c r="M228" s="3"/>
      <c r="N228" s="3"/>
      <c r="O228" s="3" t="s">
        <v>42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 t="n">
        <v>23</v>
      </c>
      <c r="AC228" s="3" t="n">
        <v>1</v>
      </c>
      <c r="AD228" s="6" t="s">
        <v>46</v>
      </c>
      <c r="AE228" s="3" t="s">
        <v>52</v>
      </c>
      <c r="AF228" s="3"/>
      <c r="AG228" s="3"/>
      <c r="AH228" s="3"/>
      <c r="AI228" s="3"/>
      <c r="AJ228" s="3"/>
      <c r="AK228" s="3"/>
      <c r="AL228" s="7" t="n">
        <f aca="false">IF(A228="","",IF(COUNTIF(A228:A$2001,A228)=1,1,0))</f>
        <v>0</v>
      </c>
      <c r="AM228" s="7" t="n">
        <f aca="true">IF(I228="","",TODAY()-I228)</f>
        <v>10</v>
      </c>
      <c r="AN228" s="7" t="n">
        <f aca="false">IF(A228="","",IF(AND(E228&lt;&gt;"33 確認済",E228&lt;&gt;"36 送付中"),1,0))</f>
        <v>1</v>
      </c>
      <c r="AO228" s="7" t="n">
        <f aca="false">IF(A228="","",IF(AG228&lt;&gt;"",1,0))</f>
        <v>0</v>
      </c>
    </row>
    <row r="229" customFormat="false" ht="15" hidden="false" customHeight="false" outlineLevel="0" collapsed="false">
      <c r="A229" s="3" t="n">
        <v>202660001380</v>
      </c>
      <c r="B229" s="3"/>
      <c r="C229" s="3"/>
      <c r="D229" s="3" t="n">
        <v>31</v>
      </c>
      <c r="E229" s="3" t="s">
        <v>41</v>
      </c>
      <c r="F229" s="3"/>
      <c r="G229" s="3"/>
      <c r="H229" s="4" t="n">
        <v>46271</v>
      </c>
      <c r="I229" s="5" t="n">
        <v>46280</v>
      </c>
      <c r="J229" s="4" t="n">
        <v>46281</v>
      </c>
      <c r="K229" s="4" t="n">
        <v>46283</v>
      </c>
      <c r="L229" s="3"/>
      <c r="M229" s="3"/>
      <c r="N229" s="3"/>
      <c r="O229" s="3" t="s">
        <v>42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 t="n">
        <v>23</v>
      </c>
      <c r="AC229" s="3" t="n">
        <v>1</v>
      </c>
      <c r="AD229" s="6" t="s">
        <v>46</v>
      </c>
      <c r="AE229" s="3" t="s">
        <v>53</v>
      </c>
      <c r="AF229" s="3"/>
      <c r="AG229" s="3"/>
      <c r="AH229" s="3"/>
      <c r="AI229" s="3"/>
      <c r="AJ229" s="3"/>
      <c r="AK229" s="3"/>
      <c r="AL229" s="7" t="n">
        <f aca="false">IF(A229="","",IF(COUNTIF(A229:A$2001,A229)=1,1,0))</f>
        <v>1</v>
      </c>
      <c r="AM229" s="7" t="n">
        <f aca="true">IF(I229="","",TODAY()-I229)</f>
        <v>10</v>
      </c>
      <c r="AN229" s="7" t="n">
        <f aca="false">IF(A229="","",IF(AND(E229&lt;&gt;"33 確認済",E229&lt;&gt;"36 送付中"),1,0))</f>
        <v>1</v>
      </c>
      <c r="AO229" s="7" t="n">
        <f aca="false">IF(A229="","",IF(AG229&lt;&gt;"",1,0))</f>
        <v>0</v>
      </c>
    </row>
    <row r="230" customFormat="false" ht="15" hidden="false" customHeight="false" outlineLevel="0" collapsed="false">
      <c r="A230" s="3" t="n">
        <v>202660001383</v>
      </c>
      <c r="B230" s="3"/>
      <c r="C230" s="3"/>
      <c r="D230" s="3" t="n">
        <v>30</v>
      </c>
      <c r="E230" s="3" t="s">
        <v>93</v>
      </c>
      <c r="F230" s="3"/>
      <c r="G230" s="3"/>
      <c r="H230" s="4" t="n">
        <v>46113</v>
      </c>
      <c r="I230" s="5" t="n">
        <v>46281</v>
      </c>
      <c r="J230" s="4" t="n">
        <v>46281</v>
      </c>
      <c r="K230" s="3"/>
      <c r="L230" s="3"/>
      <c r="M230" s="3"/>
      <c r="N230" s="3"/>
      <c r="O230" s="3" t="s">
        <v>94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 t="n">
        <v>47</v>
      </c>
      <c r="AC230" s="3" t="n">
        <v>0</v>
      </c>
      <c r="AD230" s="6" t="s">
        <v>43</v>
      </c>
      <c r="AE230" s="3" t="s">
        <v>44</v>
      </c>
      <c r="AF230" s="3"/>
      <c r="AG230" s="3"/>
      <c r="AH230" s="6" t="s">
        <v>43</v>
      </c>
      <c r="AI230" s="3"/>
      <c r="AJ230" s="3"/>
      <c r="AK230" s="3"/>
      <c r="AL230" s="7" t="n">
        <f aca="false">IF(A230="","",IF(COUNTIF(A230:A$2001,A230)=1,1,0))</f>
        <v>1</v>
      </c>
      <c r="AM230" s="7" t="n">
        <f aca="true">IF(I230="","",TODAY()-I230)</f>
        <v>9</v>
      </c>
      <c r="AN230" s="7" t="n">
        <f aca="false">IF(A230="","",IF(AND(E230&lt;&gt;"33 確認済",E230&lt;&gt;"36 送付中"),1,0))</f>
        <v>1</v>
      </c>
      <c r="AO230" s="7" t="n">
        <f aca="false">IF(A230="","",IF(AG230&lt;&gt;"",1,0))</f>
        <v>0</v>
      </c>
    </row>
    <row r="231" customFormat="false" ht="15" hidden="false" customHeight="false" outlineLevel="0" collapsed="false">
      <c r="A231" s="3" t="n">
        <v>202660001384</v>
      </c>
      <c r="B231" s="3"/>
      <c r="C231" s="3"/>
      <c r="D231" s="3" t="n">
        <v>32</v>
      </c>
      <c r="E231" s="3" t="s">
        <v>74</v>
      </c>
      <c r="F231" s="3"/>
      <c r="G231" s="3"/>
      <c r="H231" s="4" t="n">
        <v>46231</v>
      </c>
      <c r="I231" s="5" t="n">
        <v>46281</v>
      </c>
      <c r="J231" s="4" t="n">
        <v>46281</v>
      </c>
      <c r="K231" s="4" t="n">
        <v>46282</v>
      </c>
      <c r="L231" s="3"/>
      <c r="M231" s="3"/>
      <c r="N231" s="3"/>
      <c r="O231" s="3" t="s">
        <v>75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 t="n">
        <v>3</v>
      </c>
      <c r="AC231" s="3" t="n">
        <v>0</v>
      </c>
      <c r="AD231" s="6" t="s">
        <v>43</v>
      </c>
      <c r="AE231" s="3" t="s">
        <v>73</v>
      </c>
      <c r="AF231" s="3"/>
      <c r="AG231" s="3"/>
      <c r="AH231" s="3"/>
      <c r="AI231" s="3"/>
      <c r="AJ231" s="3"/>
      <c r="AK231" s="3"/>
      <c r="AL231" s="7" t="n">
        <f aca="false">IF(A231="","",IF(COUNTIF(A231:A$2001,A231)=1,1,0))</f>
        <v>1</v>
      </c>
      <c r="AM231" s="7" t="n">
        <f aca="true">IF(I231="","",TODAY()-I231)</f>
        <v>9</v>
      </c>
      <c r="AN231" s="7" t="n">
        <f aca="false">IF(A231="","",IF(AND(E231&lt;&gt;"33 確認済",E231&lt;&gt;"36 送付中"),1,0))</f>
        <v>1</v>
      </c>
      <c r="AO231" s="7" t="n">
        <f aca="false">IF(A231="","",IF(AG231&lt;&gt;"",1,0))</f>
        <v>0</v>
      </c>
    </row>
    <row r="232" customFormat="false" ht="15" hidden="false" customHeight="false" outlineLevel="0" collapsed="false">
      <c r="A232" s="3" t="n">
        <v>202660001385</v>
      </c>
      <c r="B232" s="3"/>
      <c r="C232" s="3"/>
      <c r="D232" s="3" t="n">
        <v>30</v>
      </c>
      <c r="E232" s="3" t="s">
        <v>93</v>
      </c>
      <c r="F232" s="3"/>
      <c r="G232" s="3"/>
      <c r="H232" s="4" t="n">
        <v>46242</v>
      </c>
      <c r="I232" s="5" t="n">
        <v>46281</v>
      </c>
      <c r="J232" s="4" t="n">
        <v>46281</v>
      </c>
      <c r="K232" s="3"/>
      <c r="L232" s="3"/>
      <c r="M232" s="3"/>
      <c r="N232" s="3"/>
      <c r="O232" s="3" t="s">
        <v>94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 t="n">
        <v>23</v>
      </c>
      <c r="AC232" s="3" t="n">
        <v>1</v>
      </c>
      <c r="AD232" s="6" t="s">
        <v>46</v>
      </c>
      <c r="AE232" s="3" t="s">
        <v>52</v>
      </c>
      <c r="AF232" s="3"/>
      <c r="AG232" s="3"/>
      <c r="AH232" s="3"/>
      <c r="AI232" s="3"/>
      <c r="AJ232" s="3"/>
      <c r="AK232" s="3"/>
      <c r="AL232" s="7" t="n">
        <f aca="false">IF(A232="","",IF(COUNTIF(A232:A$2001,A232)=1,1,0))</f>
        <v>0</v>
      </c>
      <c r="AM232" s="7" t="n">
        <f aca="true">IF(I232="","",TODAY()-I232)</f>
        <v>9</v>
      </c>
      <c r="AN232" s="7" t="n">
        <f aca="false">IF(A232="","",IF(AND(E232&lt;&gt;"33 確認済",E232&lt;&gt;"36 送付中"),1,0))</f>
        <v>1</v>
      </c>
      <c r="AO232" s="7" t="n">
        <f aca="false">IF(A232="","",IF(AG232&lt;&gt;"",1,0))</f>
        <v>0</v>
      </c>
    </row>
    <row r="233" customFormat="false" ht="15" hidden="false" customHeight="false" outlineLevel="0" collapsed="false">
      <c r="A233" s="3" t="n">
        <v>202660001385</v>
      </c>
      <c r="B233" s="3"/>
      <c r="C233" s="3"/>
      <c r="D233" s="3" t="n">
        <v>30</v>
      </c>
      <c r="E233" s="3" t="s">
        <v>93</v>
      </c>
      <c r="F233" s="3"/>
      <c r="G233" s="3"/>
      <c r="H233" s="4" t="n">
        <v>46242</v>
      </c>
      <c r="I233" s="5" t="n">
        <v>46281</v>
      </c>
      <c r="J233" s="4" t="n">
        <v>46281</v>
      </c>
      <c r="K233" s="3"/>
      <c r="L233" s="3"/>
      <c r="M233" s="3"/>
      <c r="N233" s="3"/>
      <c r="O233" s="3" t="s">
        <v>94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 t="n">
        <v>23</v>
      </c>
      <c r="AC233" s="3" t="n">
        <v>1</v>
      </c>
      <c r="AD233" s="6" t="s">
        <v>46</v>
      </c>
      <c r="AE233" s="3" t="s">
        <v>53</v>
      </c>
      <c r="AF233" s="3"/>
      <c r="AG233" s="3"/>
      <c r="AH233" s="3"/>
      <c r="AI233" s="3"/>
      <c r="AJ233" s="3"/>
      <c r="AK233" s="3"/>
      <c r="AL233" s="7" t="n">
        <f aca="false">IF(A233="","",IF(COUNTIF(A233:A$2001,A233)=1,1,0))</f>
        <v>1</v>
      </c>
      <c r="AM233" s="7" t="n">
        <f aca="true">IF(I233="","",TODAY()-I233)</f>
        <v>9</v>
      </c>
      <c r="AN233" s="7" t="n">
        <f aca="false">IF(A233="","",IF(AND(E233&lt;&gt;"33 確認済",E233&lt;&gt;"36 送付中"),1,0))</f>
        <v>1</v>
      </c>
      <c r="AO233" s="7" t="n">
        <f aca="false">IF(A233="","",IF(AG233&lt;&gt;"",1,0))</f>
        <v>0</v>
      </c>
    </row>
    <row r="234" customFormat="false" ht="15" hidden="false" customHeight="false" outlineLevel="0" collapsed="false">
      <c r="A234" s="3" t="n">
        <v>202660001386</v>
      </c>
      <c r="B234" s="3"/>
      <c r="C234" s="3"/>
      <c r="D234" s="3" t="n">
        <v>30</v>
      </c>
      <c r="E234" s="3" t="s">
        <v>93</v>
      </c>
      <c r="F234" s="3"/>
      <c r="G234" s="3"/>
      <c r="H234" s="4" t="n">
        <v>46113</v>
      </c>
      <c r="I234" s="5" t="n">
        <v>46281</v>
      </c>
      <c r="J234" s="4" t="n">
        <v>46281</v>
      </c>
      <c r="K234" s="3"/>
      <c r="L234" s="3"/>
      <c r="M234" s="3"/>
      <c r="N234" s="3"/>
      <c r="O234" s="3" t="s">
        <v>94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 t="n">
        <v>50</v>
      </c>
      <c r="AC234" s="3" t="n">
        <v>0</v>
      </c>
      <c r="AD234" s="6" t="s">
        <v>43</v>
      </c>
      <c r="AE234" s="3" t="s">
        <v>59</v>
      </c>
      <c r="AF234" s="6" t="s">
        <v>43</v>
      </c>
      <c r="AG234" s="3"/>
      <c r="AH234" s="6" t="s">
        <v>43</v>
      </c>
      <c r="AI234" s="3"/>
      <c r="AJ234" s="3"/>
      <c r="AK234" s="3"/>
      <c r="AL234" s="7" t="n">
        <f aca="false">IF(A234="","",IF(COUNTIF(A234:A$2001,A234)=1,1,0))</f>
        <v>1</v>
      </c>
      <c r="AM234" s="7" t="n">
        <f aca="true">IF(I234="","",TODAY()-I234)</f>
        <v>9</v>
      </c>
      <c r="AN234" s="7" t="n">
        <f aca="false">IF(A234="","",IF(AND(E234&lt;&gt;"33 確認済",E234&lt;&gt;"36 送付中"),1,0))</f>
        <v>1</v>
      </c>
      <c r="AO234" s="7" t="n">
        <f aca="false">IF(A234="","",IF(AG234&lt;&gt;"",1,0))</f>
        <v>0</v>
      </c>
    </row>
    <row r="235" customFormat="false" ht="15" hidden="false" customHeight="false" outlineLevel="0" collapsed="false">
      <c r="A235" s="3" t="n">
        <v>202660001388</v>
      </c>
      <c r="B235" s="3"/>
      <c r="C235" s="3"/>
      <c r="D235" s="3" t="n">
        <v>31</v>
      </c>
      <c r="E235" s="3" t="s">
        <v>41</v>
      </c>
      <c r="F235" s="3"/>
      <c r="G235" s="3"/>
      <c r="H235" s="4" t="n">
        <v>46164</v>
      </c>
      <c r="I235" s="5" t="n">
        <v>46281</v>
      </c>
      <c r="J235" s="4" t="n">
        <v>46289</v>
      </c>
      <c r="K235" s="4" t="n">
        <v>46289</v>
      </c>
      <c r="L235" s="3"/>
      <c r="M235" s="3"/>
      <c r="N235" s="3"/>
      <c r="O235" s="3" t="s">
        <v>56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 t="n">
        <v>28</v>
      </c>
      <c r="AC235" s="3" t="n">
        <v>1</v>
      </c>
      <c r="AD235" s="6" t="s">
        <v>46</v>
      </c>
      <c r="AE235" s="3" t="s">
        <v>97</v>
      </c>
      <c r="AF235" s="3"/>
      <c r="AG235" s="3"/>
      <c r="AH235" s="6" t="s">
        <v>46</v>
      </c>
      <c r="AI235" s="3"/>
      <c r="AJ235" s="3"/>
      <c r="AK235" s="3"/>
      <c r="AL235" s="7" t="n">
        <f aca="false">IF(A235="","",IF(COUNTIF(A235:A$2001,A235)=1,1,0))</f>
        <v>1</v>
      </c>
      <c r="AM235" s="7" t="n">
        <f aca="true">IF(I235="","",TODAY()-I235)</f>
        <v>9</v>
      </c>
      <c r="AN235" s="7" t="n">
        <f aca="false">IF(A235="","",IF(AND(E235&lt;&gt;"33 確認済",E235&lt;&gt;"36 送付中"),1,0))</f>
        <v>1</v>
      </c>
      <c r="AO235" s="7" t="n">
        <f aca="false">IF(A235="","",IF(AG235&lt;&gt;"",1,0))</f>
        <v>0</v>
      </c>
    </row>
    <row r="236" customFormat="false" ht="15" hidden="false" customHeight="false" outlineLevel="0" collapsed="false">
      <c r="A236" s="3" t="n">
        <v>202660001389</v>
      </c>
      <c r="B236" s="3"/>
      <c r="C236" s="3"/>
      <c r="D236" s="3" t="n">
        <v>32</v>
      </c>
      <c r="E236" s="3" t="s">
        <v>74</v>
      </c>
      <c r="F236" s="3"/>
      <c r="G236" s="3"/>
      <c r="H236" s="4" t="n">
        <v>46023</v>
      </c>
      <c r="I236" s="5" t="n">
        <v>46281</v>
      </c>
      <c r="J236" s="4" t="n">
        <v>46281</v>
      </c>
      <c r="K236" s="4" t="n">
        <v>46282</v>
      </c>
      <c r="L236" s="3"/>
      <c r="M236" s="3"/>
      <c r="N236" s="3"/>
      <c r="O236" s="3" t="s">
        <v>75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 t="n">
        <v>3</v>
      </c>
      <c r="AC236" s="3" t="n">
        <v>0</v>
      </c>
      <c r="AD236" s="6" t="s">
        <v>43</v>
      </c>
      <c r="AE236" s="3" t="s">
        <v>73</v>
      </c>
      <c r="AF236" s="3"/>
      <c r="AG236" s="3"/>
      <c r="AH236" s="3"/>
      <c r="AI236" s="3"/>
      <c r="AJ236" s="3"/>
      <c r="AK236" s="3"/>
      <c r="AL236" s="7" t="n">
        <f aca="false">IF(A236="","",IF(COUNTIF(A236:A$2001,A236)=1,1,0))</f>
        <v>1</v>
      </c>
      <c r="AM236" s="7" t="n">
        <f aca="true">IF(I236="","",TODAY()-I236)</f>
        <v>9</v>
      </c>
      <c r="AN236" s="7" t="n">
        <f aca="false">IF(A236="","",IF(AND(E236&lt;&gt;"33 確認済",E236&lt;&gt;"36 送付中"),1,0))</f>
        <v>1</v>
      </c>
      <c r="AO236" s="7" t="n">
        <f aca="false">IF(A236="","",IF(AG236&lt;&gt;"",1,0))</f>
        <v>0</v>
      </c>
    </row>
    <row r="237" customFormat="false" ht="15" hidden="false" customHeight="false" outlineLevel="0" collapsed="false">
      <c r="A237" s="3" t="n">
        <v>202660001390</v>
      </c>
      <c r="B237" s="3"/>
      <c r="C237" s="3"/>
      <c r="D237" s="3" t="n">
        <v>30</v>
      </c>
      <c r="E237" s="3" t="s">
        <v>93</v>
      </c>
      <c r="F237" s="3"/>
      <c r="G237" s="3"/>
      <c r="H237" s="4" t="n">
        <v>46281</v>
      </c>
      <c r="I237" s="5" t="n">
        <v>46281</v>
      </c>
      <c r="J237" s="4" t="n">
        <v>46281</v>
      </c>
      <c r="K237" s="3"/>
      <c r="L237" s="3"/>
      <c r="M237" s="3"/>
      <c r="N237" s="3"/>
      <c r="O237" s="3" t="s">
        <v>94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 t="n">
        <v>51</v>
      </c>
      <c r="AC237" s="3" t="n">
        <v>0</v>
      </c>
      <c r="AD237" s="6" t="s">
        <v>43</v>
      </c>
      <c r="AE237" s="3" t="s">
        <v>72</v>
      </c>
      <c r="AF237" s="3"/>
      <c r="AG237" s="3"/>
      <c r="AH237" s="6" t="s">
        <v>43</v>
      </c>
      <c r="AI237" s="3"/>
      <c r="AJ237" s="3"/>
      <c r="AK237" s="3"/>
      <c r="AL237" s="7" t="n">
        <f aca="false">IF(A237="","",IF(COUNTIF(A237:A$2001,A237)=1,1,0))</f>
        <v>1</v>
      </c>
      <c r="AM237" s="7" t="n">
        <f aca="true">IF(I237="","",TODAY()-I237)</f>
        <v>9</v>
      </c>
      <c r="AN237" s="7" t="n">
        <f aca="false">IF(A237="","",IF(AND(E237&lt;&gt;"33 確認済",E237&lt;&gt;"36 送付中"),1,0))</f>
        <v>1</v>
      </c>
      <c r="AO237" s="7" t="n">
        <f aca="false">IF(A237="","",IF(AG237&lt;&gt;"",1,0))</f>
        <v>0</v>
      </c>
    </row>
    <row r="238" customFormat="false" ht="15" hidden="false" customHeight="false" outlineLevel="0" collapsed="false">
      <c r="A238" s="3" t="n">
        <v>202660001391</v>
      </c>
      <c r="B238" s="3"/>
      <c r="C238" s="3"/>
      <c r="D238" s="3" t="n">
        <v>31</v>
      </c>
      <c r="E238" s="3" t="s">
        <v>41</v>
      </c>
      <c r="F238" s="3"/>
      <c r="G238" s="3"/>
      <c r="H238" s="4" t="n">
        <v>46139</v>
      </c>
      <c r="I238" s="5" t="n">
        <v>46281</v>
      </c>
      <c r="J238" s="3"/>
      <c r="K238" s="4" t="n">
        <v>46289</v>
      </c>
      <c r="L238" s="3"/>
      <c r="M238" s="3"/>
      <c r="N238" s="3"/>
      <c r="O238" s="3" t="s">
        <v>42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 t="n">
        <v>3</v>
      </c>
      <c r="AC238" s="3" t="n">
        <v>0</v>
      </c>
      <c r="AD238" s="6" t="s">
        <v>43</v>
      </c>
      <c r="AE238" s="3" t="s">
        <v>73</v>
      </c>
      <c r="AF238" s="3"/>
      <c r="AG238" s="3"/>
      <c r="AH238" s="3"/>
      <c r="AI238" s="3"/>
      <c r="AJ238" s="3"/>
      <c r="AK238" s="3"/>
      <c r="AL238" s="7" t="n">
        <f aca="false">IF(A238="","",IF(COUNTIF(A238:A$2001,A238)=1,1,0))</f>
        <v>1</v>
      </c>
      <c r="AM238" s="7" t="n">
        <f aca="true">IF(I238="","",TODAY()-I238)</f>
        <v>9</v>
      </c>
      <c r="AN238" s="7" t="n">
        <f aca="false">IF(A238="","",IF(AND(E238&lt;&gt;"33 確認済",E238&lt;&gt;"36 送付中"),1,0))</f>
        <v>1</v>
      </c>
      <c r="AO238" s="7" t="n">
        <f aca="false">IF(A238="","",IF(AG238&lt;&gt;"",1,0))</f>
        <v>0</v>
      </c>
    </row>
    <row r="239" customFormat="false" ht="15" hidden="false" customHeight="false" outlineLevel="0" collapsed="false">
      <c r="A239" s="3" t="n">
        <v>202660001392</v>
      </c>
      <c r="B239" s="3"/>
      <c r="C239" s="3"/>
      <c r="D239" s="3" t="n">
        <v>32</v>
      </c>
      <c r="E239" s="3" t="s">
        <v>74</v>
      </c>
      <c r="F239" s="3"/>
      <c r="G239" s="3"/>
      <c r="H239" s="4" t="n">
        <v>46151</v>
      </c>
      <c r="I239" s="5" t="n">
        <v>46281</v>
      </c>
      <c r="J239" s="4" t="n">
        <v>46281</v>
      </c>
      <c r="K239" s="4" t="n">
        <v>46282</v>
      </c>
      <c r="L239" s="3"/>
      <c r="M239" s="3"/>
      <c r="N239" s="3"/>
      <c r="O239" s="3" t="s">
        <v>75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 t="n">
        <v>3</v>
      </c>
      <c r="AC239" s="3" t="n">
        <v>0</v>
      </c>
      <c r="AD239" s="6" t="s">
        <v>43</v>
      </c>
      <c r="AE239" s="3" t="s">
        <v>73</v>
      </c>
      <c r="AF239" s="3"/>
      <c r="AG239" s="3"/>
      <c r="AH239" s="3"/>
      <c r="AI239" s="3"/>
      <c r="AJ239" s="3"/>
      <c r="AK239" s="3"/>
      <c r="AL239" s="7" t="n">
        <f aca="false">IF(A239="","",IF(COUNTIF(A239:A$2001,A239)=1,1,0))</f>
        <v>1</v>
      </c>
      <c r="AM239" s="7" t="n">
        <f aca="true">IF(I239="","",TODAY()-I239)</f>
        <v>9</v>
      </c>
      <c r="AN239" s="7" t="n">
        <f aca="false">IF(A239="","",IF(AND(E239&lt;&gt;"33 確認済",E239&lt;&gt;"36 送付中"),1,0))</f>
        <v>1</v>
      </c>
      <c r="AO239" s="7" t="n">
        <f aca="false">IF(A239="","",IF(AG239&lt;&gt;"",1,0))</f>
        <v>0</v>
      </c>
    </row>
    <row r="240" customFormat="false" ht="15" hidden="false" customHeight="false" outlineLevel="0" collapsed="false">
      <c r="A240" s="3" t="n">
        <v>202660001393</v>
      </c>
      <c r="B240" s="3"/>
      <c r="C240" s="3"/>
      <c r="D240" s="3" t="n">
        <v>31</v>
      </c>
      <c r="E240" s="3" t="s">
        <v>41</v>
      </c>
      <c r="F240" s="3"/>
      <c r="G240" s="3"/>
      <c r="H240" s="4" t="n">
        <v>46023</v>
      </c>
      <c r="I240" s="5" t="n">
        <v>46281</v>
      </c>
      <c r="J240" s="4" t="n">
        <v>46283</v>
      </c>
      <c r="K240" s="4" t="n">
        <v>46283</v>
      </c>
      <c r="L240" s="3"/>
      <c r="M240" s="3"/>
      <c r="N240" s="3"/>
      <c r="O240" s="3" t="s">
        <v>56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 t="n">
        <v>25</v>
      </c>
      <c r="AC240" s="3" t="n">
        <v>1</v>
      </c>
      <c r="AD240" s="6" t="s">
        <v>46</v>
      </c>
      <c r="AE240" s="3" t="s">
        <v>54</v>
      </c>
      <c r="AF240" s="3"/>
      <c r="AG240" s="3"/>
      <c r="AH240" s="6" t="s">
        <v>46</v>
      </c>
      <c r="AI240" s="3"/>
      <c r="AJ240" s="3"/>
      <c r="AK240" s="3"/>
      <c r="AL240" s="7" t="n">
        <f aca="false">IF(A240="","",IF(COUNTIF(A240:A$2001,A240)=1,1,0))</f>
        <v>1</v>
      </c>
      <c r="AM240" s="7" t="n">
        <f aca="true">IF(I240="","",TODAY()-I240)</f>
        <v>9</v>
      </c>
      <c r="AN240" s="7" t="n">
        <f aca="false">IF(A240="","",IF(AND(E240&lt;&gt;"33 確認済",E240&lt;&gt;"36 送付中"),1,0))</f>
        <v>1</v>
      </c>
      <c r="AO240" s="7" t="n">
        <f aca="false">IF(A240="","",IF(AG240&lt;&gt;"",1,0))</f>
        <v>0</v>
      </c>
    </row>
    <row r="241" customFormat="false" ht="15" hidden="false" customHeight="false" outlineLevel="0" collapsed="false">
      <c r="A241" s="3" t="n">
        <v>202660001394</v>
      </c>
      <c r="B241" s="3"/>
      <c r="C241" s="3"/>
      <c r="D241" s="3" t="n">
        <v>32</v>
      </c>
      <c r="E241" s="3" t="s">
        <v>74</v>
      </c>
      <c r="F241" s="3"/>
      <c r="G241" s="3"/>
      <c r="H241" s="4" t="n">
        <v>46066</v>
      </c>
      <c r="I241" s="5" t="n">
        <v>46281</v>
      </c>
      <c r="J241" s="4" t="n">
        <v>46281</v>
      </c>
      <c r="K241" s="4" t="n">
        <v>46282</v>
      </c>
      <c r="L241" s="3"/>
      <c r="M241" s="3"/>
      <c r="N241" s="3"/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 t="n">
        <v>3</v>
      </c>
      <c r="AC241" s="3" t="n">
        <v>0</v>
      </c>
      <c r="AD241" s="6" t="s">
        <v>43</v>
      </c>
      <c r="AE241" s="3" t="s">
        <v>73</v>
      </c>
      <c r="AF241" s="3"/>
      <c r="AG241" s="3"/>
      <c r="AH241" s="3"/>
      <c r="AI241" s="3"/>
      <c r="AJ241" s="3"/>
      <c r="AK241" s="3"/>
      <c r="AL241" s="7" t="n">
        <f aca="false">IF(A241="","",IF(COUNTIF(A241:A$2001,A241)=1,1,0))</f>
        <v>1</v>
      </c>
      <c r="AM241" s="7" t="n">
        <f aca="true">IF(I241="","",TODAY()-I241)</f>
        <v>9</v>
      </c>
      <c r="AN241" s="7" t="n">
        <f aca="false">IF(A241="","",IF(AND(E241&lt;&gt;"33 確認済",E241&lt;&gt;"36 送付中"),1,0))</f>
        <v>1</v>
      </c>
      <c r="AO241" s="7" t="n">
        <f aca="false">IF(A241="","",IF(AG241&lt;&gt;"",1,0))</f>
        <v>0</v>
      </c>
    </row>
    <row r="242" customFormat="false" ht="15" hidden="false" customHeight="false" outlineLevel="0" collapsed="false">
      <c r="A242" s="3" t="n">
        <v>202660001395</v>
      </c>
      <c r="B242" s="3"/>
      <c r="C242" s="3"/>
      <c r="D242" s="3" t="n">
        <v>31</v>
      </c>
      <c r="E242" s="3" t="s">
        <v>41</v>
      </c>
      <c r="F242" s="3"/>
      <c r="G242" s="3"/>
      <c r="H242" s="4" t="n">
        <v>46054</v>
      </c>
      <c r="I242" s="5" t="n">
        <v>46281</v>
      </c>
      <c r="J242" s="4" t="n">
        <v>46289</v>
      </c>
      <c r="K242" s="4" t="n">
        <v>46289</v>
      </c>
      <c r="L242" s="3"/>
      <c r="M242" s="3"/>
      <c r="N242" s="3"/>
      <c r="O242" s="3" t="s">
        <v>56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 t="n">
        <v>28</v>
      </c>
      <c r="AC242" s="3" t="n">
        <v>3</v>
      </c>
      <c r="AD242" s="6" t="s">
        <v>43</v>
      </c>
      <c r="AE242" s="3"/>
      <c r="AF242" s="3"/>
      <c r="AG242" s="3"/>
      <c r="AH242" s="3"/>
      <c r="AI242" s="3"/>
      <c r="AJ242" s="3"/>
      <c r="AK242" s="3"/>
      <c r="AL242" s="7" t="n">
        <f aca="false">IF(A242="","",IF(COUNTIF(A242:A$2001,A242)=1,1,0))</f>
        <v>1</v>
      </c>
      <c r="AM242" s="7" t="n">
        <f aca="true">IF(I242="","",TODAY()-I242)</f>
        <v>9</v>
      </c>
      <c r="AN242" s="7" t="n">
        <f aca="false">IF(A242="","",IF(AND(E242&lt;&gt;"33 確認済",E242&lt;&gt;"36 送付中"),1,0))</f>
        <v>1</v>
      </c>
      <c r="AO242" s="7" t="n">
        <f aca="false">IF(A242="","",IF(AG242&lt;&gt;"",1,0))</f>
        <v>0</v>
      </c>
    </row>
    <row r="243" customFormat="false" ht="15" hidden="false" customHeight="false" outlineLevel="0" collapsed="false">
      <c r="A243" s="3" t="n">
        <v>202660001396</v>
      </c>
      <c r="B243" s="3"/>
      <c r="C243" s="3"/>
      <c r="D243" s="3" t="n">
        <v>20</v>
      </c>
      <c r="E243" s="3" t="s">
        <v>69</v>
      </c>
      <c r="F243" s="3"/>
      <c r="G243" s="3"/>
      <c r="H243" s="4" t="n">
        <v>46268</v>
      </c>
      <c r="I243" s="5" t="n">
        <v>46281</v>
      </c>
      <c r="J243" s="3"/>
      <c r="K243" s="3"/>
      <c r="L243" s="3"/>
      <c r="M243" s="3"/>
      <c r="N243" s="3"/>
      <c r="O243" s="3" t="s">
        <v>67</v>
      </c>
      <c r="P243" s="6" t="s">
        <v>60</v>
      </c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 t="n">
        <v>21</v>
      </c>
      <c r="AC243" s="3" t="n">
        <v>1</v>
      </c>
      <c r="AD243" s="6" t="s">
        <v>46</v>
      </c>
      <c r="AE243" s="3" t="s">
        <v>55</v>
      </c>
      <c r="AF243" s="6" t="s">
        <v>46</v>
      </c>
      <c r="AG243" s="6" t="s">
        <v>46</v>
      </c>
      <c r="AH243" s="6" t="s">
        <v>46</v>
      </c>
      <c r="AI243" s="3"/>
      <c r="AJ243" s="3"/>
      <c r="AK243" s="3"/>
      <c r="AL243" s="7" t="n">
        <f aca="false">IF(A243="","",IF(COUNTIF(A243:A$2001,A243)=1,1,0))</f>
        <v>1</v>
      </c>
      <c r="AM243" s="7" t="n">
        <f aca="true">IF(I243="","",TODAY()-I243)</f>
        <v>9</v>
      </c>
      <c r="AN243" s="7" t="n">
        <f aca="false">IF(A243="","",IF(AND(E243&lt;&gt;"33 確認済",E243&lt;&gt;"36 送付中"),1,0))</f>
        <v>1</v>
      </c>
      <c r="AO243" s="7" t="n">
        <f aca="false">IF(A243="","",IF(AG243&lt;&gt;"",1,0))</f>
        <v>1</v>
      </c>
    </row>
    <row r="244" customFormat="false" ht="15" hidden="false" customHeight="false" outlineLevel="0" collapsed="false">
      <c r="A244" s="3" t="n">
        <v>202660001397</v>
      </c>
      <c r="B244" s="3"/>
      <c r="C244" s="3"/>
      <c r="D244" s="3" t="n">
        <v>30</v>
      </c>
      <c r="E244" s="3" t="s">
        <v>93</v>
      </c>
      <c r="F244" s="3"/>
      <c r="G244" s="3"/>
      <c r="H244" s="4" t="n">
        <v>46139</v>
      </c>
      <c r="I244" s="5" t="n">
        <v>46281</v>
      </c>
      <c r="J244" s="4" t="n">
        <v>46281</v>
      </c>
      <c r="K244" s="3"/>
      <c r="L244" s="3"/>
      <c r="M244" s="3"/>
      <c r="N244" s="3"/>
      <c r="O244" s="3" t="s">
        <v>94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 t="n">
        <v>49</v>
      </c>
      <c r="AC244" s="3" t="n">
        <v>0</v>
      </c>
      <c r="AD244" s="6" t="s">
        <v>43</v>
      </c>
      <c r="AE244" s="3" t="s">
        <v>83</v>
      </c>
      <c r="AF244" s="3"/>
      <c r="AG244" s="3"/>
      <c r="AH244" s="3"/>
      <c r="AI244" s="3"/>
      <c r="AJ244" s="3"/>
      <c r="AK244" s="3"/>
      <c r="AL244" s="7" t="n">
        <f aca="false">IF(A244="","",IF(COUNTIF(A244:A$2001,A244)=1,1,0))</f>
        <v>1</v>
      </c>
      <c r="AM244" s="7" t="n">
        <f aca="true">IF(I244="","",TODAY()-I244)</f>
        <v>9</v>
      </c>
      <c r="AN244" s="7" t="n">
        <f aca="false">IF(A244="","",IF(AND(E244&lt;&gt;"33 確認済",E244&lt;&gt;"36 送付中"),1,0))</f>
        <v>1</v>
      </c>
      <c r="AO244" s="7" t="n">
        <f aca="false">IF(A244="","",IF(AG244&lt;&gt;"",1,0))</f>
        <v>0</v>
      </c>
    </row>
    <row r="245" customFormat="false" ht="15" hidden="false" customHeight="false" outlineLevel="0" collapsed="false">
      <c r="A245" s="3" t="n">
        <v>202660001398</v>
      </c>
      <c r="B245" s="3"/>
      <c r="C245" s="3"/>
      <c r="D245" s="3" t="n">
        <v>31</v>
      </c>
      <c r="E245" s="3" t="s">
        <v>41</v>
      </c>
      <c r="F245" s="3"/>
      <c r="G245" s="3"/>
      <c r="H245" s="4" t="n">
        <v>46242</v>
      </c>
      <c r="I245" s="5" t="n">
        <v>46281</v>
      </c>
      <c r="J245" s="4" t="n">
        <v>46281</v>
      </c>
      <c r="K245" s="4" t="n">
        <v>46283</v>
      </c>
      <c r="L245" s="3"/>
      <c r="M245" s="3"/>
      <c r="N245" s="3"/>
      <c r="O245" s="3" t="s">
        <v>42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 t="n">
        <v>23</v>
      </c>
      <c r="AC245" s="3" t="n">
        <v>1</v>
      </c>
      <c r="AD245" s="6" t="s">
        <v>46</v>
      </c>
      <c r="AE245" s="3" t="s">
        <v>52</v>
      </c>
      <c r="AF245" s="3"/>
      <c r="AG245" s="3"/>
      <c r="AH245" s="3"/>
      <c r="AI245" s="3"/>
      <c r="AJ245" s="3"/>
      <c r="AK245" s="3"/>
      <c r="AL245" s="7" t="n">
        <f aca="false">IF(A245="","",IF(COUNTIF(A245:A$2001,A245)=1,1,0))</f>
        <v>0</v>
      </c>
      <c r="AM245" s="7" t="n">
        <f aca="true">IF(I245="","",TODAY()-I245)</f>
        <v>9</v>
      </c>
      <c r="AN245" s="7" t="n">
        <f aca="false">IF(A245="","",IF(AND(E245&lt;&gt;"33 確認済",E245&lt;&gt;"36 送付中"),1,0))</f>
        <v>1</v>
      </c>
      <c r="AO245" s="7" t="n">
        <f aca="false">IF(A245="","",IF(AG245&lt;&gt;"",1,0))</f>
        <v>0</v>
      </c>
    </row>
    <row r="246" customFormat="false" ht="15" hidden="false" customHeight="false" outlineLevel="0" collapsed="false">
      <c r="A246" s="3" t="n">
        <v>202660001398</v>
      </c>
      <c r="B246" s="3"/>
      <c r="C246" s="3"/>
      <c r="D246" s="3" t="n">
        <v>31</v>
      </c>
      <c r="E246" s="3" t="s">
        <v>41</v>
      </c>
      <c r="F246" s="3"/>
      <c r="G246" s="3"/>
      <c r="H246" s="4" t="n">
        <v>46242</v>
      </c>
      <c r="I246" s="5" t="n">
        <v>46281</v>
      </c>
      <c r="J246" s="4" t="n">
        <v>46281</v>
      </c>
      <c r="K246" s="4" t="n">
        <v>46283</v>
      </c>
      <c r="L246" s="3"/>
      <c r="M246" s="3"/>
      <c r="N246" s="3"/>
      <c r="O246" s="3" t="s">
        <v>42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 t="n">
        <v>23</v>
      </c>
      <c r="AC246" s="3" t="n">
        <v>1</v>
      </c>
      <c r="AD246" s="6" t="s">
        <v>46</v>
      </c>
      <c r="AE246" s="3" t="s">
        <v>53</v>
      </c>
      <c r="AF246" s="3"/>
      <c r="AG246" s="3"/>
      <c r="AH246" s="3"/>
      <c r="AI246" s="3"/>
      <c r="AJ246" s="3"/>
      <c r="AK246" s="3"/>
      <c r="AL246" s="7" t="n">
        <f aca="false">IF(A246="","",IF(COUNTIF(A246:A$2001,A246)=1,1,0))</f>
        <v>1</v>
      </c>
      <c r="AM246" s="7" t="n">
        <f aca="true">IF(I246="","",TODAY()-I246)</f>
        <v>9</v>
      </c>
      <c r="AN246" s="7" t="n">
        <f aca="false">IF(A246="","",IF(AND(E246&lt;&gt;"33 確認済",E246&lt;&gt;"36 送付中"),1,0))</f>
        <v>1</v>
      </c>
      <c r="AO246" s="7" t="n">
        <f aca="false">IF(A246="","",IF(AG246&lt;&gt;"",1,0))</f>
        <v>0</v>
      </c>
    </row>
    <row r="247" customFormat="false" ht="15" hidden="false" customHeight="false" outlineLevel="0" collapsed="false">
      <c r="A247" s="3" t="n">
        <v>202660001399</v>
      </c>
      <c r="B247" s="3"/>
      <c r="C247" s="3"/>
      <c r="D247" s="3" t="n">
        <v>20</v>
      </c>
      <c r="E247" s="3" t="s">
        <v>69</v>
      </c>
      <c r="F247" s="3"/>
      <c r="G247" s="3"/>
      <c r="H247" s="4" t="n">
        <v>46023</v>
      </c>
      <c r="I247" s="5" t="n">
        <v>46281</v>
      </c>
      <c r="J247" s="3"/>
      <c r="K247" s="3"/>
      <c r="L247" s="3"/>
      <c r="M247" s="3"/>
      <c r="N247" s="3"/>
      <c r="O247" s="3" t="s">
        <v>67</v>
      </c>
      <c r="P247" s="6" t="s">
        <v>60</v>
      </c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 t="n">
        <v>25</v>
      </c>
      <c r="AC247" s="3" t="n">
        <v>1</v>
      </c>
      <c r="AD247" s="6" t="s">
        <v>46</v>
      </c>
      <c r="AE247" s="3" t="s">
        <v>54</v>
      </c>
      <c r="AF247" s="3"/>
      <c r="AG247" s="3"/>
      <c r="AH247" s="6" t="s">
        <v>46</v>
      </c>
      <c r="AI247" s="3"/>
      <c r="AJ247" s="3"/>
      <c r="AK247" s="3"/>
      <c r="AL247" s="7" t="n">
        <f aca="false">IF(A247="","",IF(COUNTIF(A247:A$2001,A247)=1,1,0))</f>
        <v>1</v>
      </c>
      <c r="AM247" s="7" t="n">
        <f aca="true">IF(I247="","",TODAY()-I247)</f>
        <v>9</v>
      </c>
      <c r="AN247" s="7" t="n">
        <f aca="false">IF(A247="","",IF(AND(E247&lt;&gt;"33 確認済",E247&lt;&gt;"36 送付中"),1,0))</f>
        <v>1</v>
      </c>
      <c r="AO247" s="7" t="n">
        <f aca="false">IF(A247="","",IF(AG247&lt;&gt;"",1,0))</f>
        <v>0</v>
      </c>
    </row>
    <row r="248" customFormat="false" ht="15" hidden="false" customHeight="false" outlineLevel="0" collapsed="false">
      <c r="A248" s="3" t="n">
        <v>202660001400</v>
      </c>
      <c r="B248" s="3"/>
      <c r="C248" s="3"/>
      <c r="D248" s="3" t="n">
        <v>30</v>
      </c>
      <c r="E248" s="3" t="s">
        <v>93</v>
      </c>
      <c r="F248" s="3"/>
      <c r="G248" s="3"/>
      <c r="H248" s="4" t="n">
        <v>46204</v>
      </c>
      <c r="I248" s="5" t="n">
        <v>46281</v>
      </c>
      <c r="J248" s="4" t="n">
        <v>46289</v>
      </c>
      <c r="K248" s="3"/>
      <c r="L248" s="3"/>
      <c r="M248" s="3"/>
      <c r="N248" s="3"/>
      <c r="O248" s="3" t="s">
        <v>94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 t="n">
        <v>50</v>
      </c>
      <c r="AC248" s="3" t="n">
        <v>0</v>
      </c>
      <c r="AD248" s="6" t="s">
        <v>43</v>
      </c>
      <c r="AE248" s="3" t="s">
        <v>59</v>
      </c>
      <c r="AF248" s="3"/>
      <c r="AG248" s="3"/>
      <c r="AH248" s="6" t="s">
        <v>43</v>
      </c>
      <c r="AI248" s="3"/>
      <c r="AJ248" s="3"/>
      <c r="AK248" s="3"/>
      <c r="AL248" s="7" t="n">
        <f aca="false">IF(A248="","",IF(COUNTIF(A248:A$2001,A248)=1,1,0))</f>
        <v>1</v>
      </c>
      <c r="AM248" s="7" t="n">
        <f aca="true">IF(I248="","",TODAY()-I248)</f>
        <v>9</v>
      </c>
      <c r="AN248" s="7" t="n">
        <f aca="false">IF(A248="","",IF(AND(E248&lt;&gt;"33 確認済",E248&lt;&gt;"36 送付中"),1,0))</f>
        <v>1</v>
      </c>
      <c r="AO248" s="7" t="n">
        <f aca="false">IF(A248="","",IF(AG248&lt;&gt;"",1,0))</f>
        <v>0</v>
      </c>
    </row>
    <row r="249" customFormat="false" ht="15" hidden="false" customHeight="false" outlineLevel="0" collapsed="false">
      <c r="A249" s="3" t="n">
        <v>202660001401</v>
      </c>
      <c r="B249" s="3"/>
      <c r="C249" s="3"/>
      <c r="D249" s="3" t="n">
        <v>31</v>
      </c>
      <c r="E249" s="3" t="s">
        <v>41</v>
      </c>
      <c r="F249" s="3"/>
      <c r="G249" s="3"/>
      <c r="H249" s="4" t="n">
        <v>46113</v>
      </c>
      <c r="I249" s="5" t="n">
        <v>46281</v>
      </c>
      <c r="J249" s="4" t="n">
        <v>46282</v>
      </c>
      <c r="K249" s="4" t="n">
        <v>46283</v>
      </c>
      <c r="L249" s="3"/>
      <c r="M249" s="3"/>
      <c r="N249" s="3"/>
      <c r="O249" s="3" t="s">
        <v>42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 t="n">
        <v>23</v>
      </c>
      <c r="AC249" s="3" t="n">
        <v>1</v>
      </c>
      <c r="AD249" s="6" t="s">
        <v>46</v>
      </c>
      <c r="AE249" s="3" t="s">
        <v>52</v>
      </c>
      <c r="AF249" s="3"/>
      <c r="AG249" s="3"/>
      <c r="AH249" s="3"/>
      <c r="AI249" s="3"/>
      <c r="AJ249" s="3"/>
      <c r="AK249" s="3"/>
      <c r="AL249" s="7" t="n">
        <f aca="false">IF(A249="","",IF(COUNTIF(A249:A$2001,A249)=1,1,0))</f>
        <v>0</v>
      </c>
      <c r="AM249" s="7" t="n">
        <f aca="true">IF(I249="","",TODAY()-I249)</f>
        <v>9</v>
      </c>
      <c r="AN249" s="7" t="n">
        <f aca="false">IF(A249="","",IF(AND(E249&lt;&gt;"33 確認済",E249&lt;&gt;"36 送付中"),1,0))</f>
        <v>1</v>
      </c>
      <c r="AO249" s="7" t="n">
        <f aca="false">IF(A249="","",IF(AG249&lt;&gt;"",1,0))</f>
        <v>0</v>
      </c>
    </row>
    <row r="250" customFormat="false" ht="15" hidden="false" customHeight="false" outlineLevel="0" collapsed="false">
      <c r="A250" s="3" t="n">
        <v>202660001401</v>
      </c>
      <c r="B250" s="3"/>
      <c r="C250" s="3"/>
      <c r="D250" s="3" t="n">
        <v>31</v>
      </c>
      <c r="E250" s="3" t="s">
        <v>41</v>
      </c>
      <c r="F250" s="3"/>
      <c r="G250" s="3"/>
      <c r="H250" s="4" t="n">
        <v>46113</v>
      </c>
      <c r="I250" s="5" t="n">
        <v>46281</v>
      </c>
      <c r="J250" s="4" t="n">
        <v>46282</v>
      </c>
      <c r="K250" s="4" t="n">
        <v>46283</v>
      </c>
      <c r="L250" s="3"/>
      <c r="M250" s="3"/>
      <c r="N250" s="3"/>
      <c r="O250" s="3" t="s">
        <v>42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 t="n">
        <v>23</v>
      </c>
      <c r="AC250" s="3" t="n">
        <v>1</v>
      </c>
      <c r="AD250" s="6" t="s">
        <v>46</v>
      </c>
      <c r="AE250" s="3" t="s">
        <v>53</v>
      </c>
      <c r="AF250" s="3"/>
      <c r="AG250" s="3"/>
      <c r="AH250" s="3"/>
      <c r="AI250" s="3"/>
      <c r="AJ250" s="3"/>
      <c r="AK250" s="3"/>
      <c r="AL250" s="7" t="n">
        <f aca="false">IF(A250="","",IF(COUNTIF(A250:A$2001,A250)=1,1,0))</f>
        <v>1</v>
      </c>
      <c r="AM250" s="7" t="n">
        <f aca="true">IF(I250="","",TODAY()-I250)</f>
        <v>9</v>
      </c>
      <c r="AN250" s="7" t="n">
        <f aca="false">IF(A250="","",IF(AND(E250&lt;&gt;"33 確認済",E250&lt;&gt;"36 送付中"),1,0))</f>
        <v>1</v>
      </c>
      <c r="AO250" s="7" t="n">
        <f aca="false">IF(A250="","",IF(AG250&lt;&gt;"",1,0))</f>
        <v>0</v>
      </c>
    </row>
    <row r="251" customFormat="false" ht="15" hidden="false" customHeight="false" outlineLevel="0" collapsed="false">
      <c r="A251" s="3" t="n">
        <v>202660001404</v>
      </c>
      <c r="B251" s="3"/>
      <c r="C251" s="3"/>
      <c r="D251" s="3" t="n">
        <v>30</v>
      </c>
      <c r="E251" s="3" t="s">
        <v>93</v>
      </c>
      <c r="F251" s="3"/>
      <c r="G251" s="3"/>
      <c r="H251" s="4" t="n">
        <v>46281</v>
      </c>
      <c r="I251" s="5" t="n">
        <v>46281</v>
      </c>
      <c r="J251" s="4" t="n">
        <v>46289</v>
      </c>
      <c r="K251" s="3"/>
      <c r="L251" s="3"/>
      <c r="M251" s="3"/>
      <c r="N251" s="3"/>
      <c r="O251" s="3" t="s">
        <v>94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 t="n">
        <v>51</v>
      </c>
      <c r="AC251" s="3" t="n">
        <v>0</v>
      </c>
      <c r="AD251" s="6" t="s">
        <v>43</v>
      </c>
      <c r="AE251" s="3" t="s">
        <v>72</v>
      </c>
      <c r="AF251" s="3"/>
      <c r="AG251" s="3"/>
      <c r="AH251" s="6" t="s">
        <v>43</v>
      </c>
      <c r="AI251" s="3"/>
      <c r="AJ251" s="3"/>
      <c r="AK251" s="3"/>
      <c r="AL251" s="7" t="n">
        <f aca="false">IF(A251="","",IF(COUNTIF(A251:A$2001,A251)=1,1,0))</f>
        <v>1</v>
      </c>
      <c r="AM251" s="7" t="n">
        <f aca="true">IF(I251="","",TODAY()-I251)</f>
        <v>9</v>
      </c>
      <c r="AN251" s="7" t="n">
        <f aca="false">IF(A251="","",IF(AND(E251&lt;&gt;"33 確認済",E251&lt;&gt;"36 送付中"),1,0))</f>
        <v>1</v>
      </c>
      <c r="AO251" s="7" t="n">
        <f aca="false">IF(A251="","",IF(AG251&lt;&gt;"",1,0))</f>
        <v>0</v>
      </c>
    </row>
    <row r="252" customFormat="false" ht="15" hidden="false" customHeight="false" outlineLevel="0" collapsed="false">
      <c r="A252" s="3" t="n">
        <v>202660001405</v>
      </c>
      <c r="B252" s="3"/>
      <c r="C252" s="3"/>
      <c r="D252" s="3" t="n">
        <v>30</v>
      </c>
      <c r="E252" s="3" t="s">
        <v>93</v>
      </c>
      <c r="F252" s="3"/>
      <c r="G252" s="3"/>
      <c r="H252" s="4" t="n">
        <v>46113</v>
      </c>
      <c r="I252" s="5" t="n">
        <v>46281</v>
      </c>
      <c r="J252" s="4" t="n">
        <v>46289</v>
      </c>
      <c r="K252" s="3"/>
      <c r="L252" s="3"/>
      <c r="M252" s="3"/>
      <c r="N252" s="3"/>
      <c r="O252" s="3" t="s">
        <v>94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 t="n">
        <v>47</v>
      </c>
      <c r="AC252" s="3" t="n">
        <v>0</v>
      </c>
      <c r="AD252" s="6" t="s">
        <v>43</v>
      </c>
      <c r="AE252" s="3" t="s">
        <v>44</v>
      </c>
      <c r="AF252" s="3"/>
      <c r="AG252" s="3"/>
      <c r="AH252" s="6" t="s">
        <v>43</v>
      </c>
      <c r="AI252" s="3"/>
      <c r="AJ252" s="3"/>
      <c r="AK252" s="3"/>
      <c r="AL252" s="7" t="n">
        <f aca="false">IF(A252="","",IF(COUNTIF(A252:A$2001,A252)=1,1,0))</f>
        <v>1</v>
      </c>
      <c r="AM252" s="7" t="n">
        <f aca="true">IF(I252="","",TODAY()-I252)</f>
        <v>9</v>
      </c>
      <c r="AN252" s="7" t="n">
        <f aca="false">IF(A252="","",IF(AND(E252&lt;&gt;"33 確認済",E252&lt;&gt;"36 送付中"),1,0))</f>
        <v>1</v>
      </c>
      <c r="AO252" s="7" t="n">
        <f aca="false">IF(A252="","",IF(AG252&lt;&gt;"",1,0))</f>
        <v>0</v>
      </c>
    </row>
    <row r="253" customFormat="false" ht="15" hidden="false" customHeight="false" outlineLevel="0" collapsed="false">
      <c r="A253" s="3" t="n">
        <v>202660001407</v>
      </c>
      <c r="B253" s="3"/>
      <c r="C253" s="3"/>
      <c r="D253" s="3" t="n">
        <v>32</v>
      </c>
      <c r="E253" s="3" t="s">
        <v>74</v>
      </c>
      <c r="F253" s="3"/>
      <c r="G253" s="3"/>
      <c r="H253" s="4" t="n">
        <v>46023</v>
      </c>
      <c r="I253" s="5" t="n">
        <v>46281</v>
      </c>
      <c r="J253" s="4" t="n">
        <v>46283</v>
      </c>
      <c r="K253" s="4" t="n">
        <v>46283</v>
      </c>
      <c r="L253" s="3"/>
      <c r="M253" s="3"/>
      <c r="N253" s="3"/>
      <c r="O253" s="3" t="s">
        <v>82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 t="n">
        <v>27</v>
      </c>
      <c r="AC253" s="3" t="n">
        <v>1</v>
      </c>
      <c r="AD253" s="6" t="s">
        <v>46</v>
      </c>
      <c r="AE253" s="3" t="s">
        <v>66</v>
      </c>
      <c r="AF253" s="6" t="s">
        <v>46</v>
      </c>
      <c r="AG253" s="6" t="s">
        <v>46</v>
      </c>
      <c r="AH253" s="6" t="s">
        <v>46</v>
      </c>
      <c r="AI253" s="3"/>
      <c r="AJ253" s="3"/>
      <c r="AK253" s="3"/>
      <c r="AL253" s="7" t="n">
        <f aca="false">IF(A253="","",IF(COUNTIF(A253:A$2001,A253)=1,1,0))</f>
        <v>1</v>
      </c>
      <c r="AM253" s="7" t="n">
        <f aca="true">IF(I253="","",TODAY()-I253)</f>
        <v>9</v>
      </c>
      <c r="AN253" s="7" t="n">
        <f aca="false">IF(A253="","",IF(AND(E253&lt;&gt;"33 確認済",E253&lt;&gt;"36 送付中"),1,0))</f>
        <v>1</v>
      </c>
      <c r="AO253" s="7" t="n">
        <f aca="false">IF(A253="","",IF(AG253&lt;&gt;"",1,0))</f>
        <v>1</v>
      </c>
    </row>
    <row r="254" customFormat="false" ht="15" hidden="false" customHeight="false" outlineLevel="0" collapsed="false">
      <c r="A254" s="3" t="n">
        <v>202660001409</v>
      </c>
      <c r="B254" s="3"/>
      <c r="C254" s="3"/>
      <c r="D254" s="3" t="n">
        <v>30</v>
      </c>
      <c r="E254" s="3" t="s">
        <v>93</v>
      </c>
      <c r="F254" s="3"/>
      <c r="G254" s="3"/>
      <c r="H254" s="4" t="n">
        <v>46143</v>
      </c>
      <c r="I254" s="5" t="n">
        <v>46282</v>
      </c>
      <c r="J254" s="4" t="n">
        <v>46289</v>
      </c>
      <c r="K254" s="3"/>
      <c r="L254" s="3"/>
      <c r="M254" s="3"/>
      <c r="N254" s="3"/>
      <c r="O254" s="3" t="s">
        <v>94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 t="n">
        <v>49</v>
      </c>
      <c r="AC254" s="3" t="n">
        <v>0</v>
      </c>
      <c r="AD254" s="6" t="s">
        <v>43</v>
      </c>
      <c r="AE254" s="3" t="s">
        <v>83</v>
      </c>
      <c r="AF254" s="3"/>
      <c r="AG254" s="3"/>
      <c r="AH254" s="6" t="s">
        <v>43</v>
      </c>
      <c r="AI254" s="3"/>
      <c r="AJ254" s="3"/>
      <c r="AK254" s="3"/>
      <c r="AL254" s="7" t="n">
        <f aca="false">IF(A254="","",IF(COUNTIF(A254:A$2001,A254)=1,1,0))</f>
        <v>1</v>
      </c>
      <c r="AM254" s="7" t="n">
        <f aca="true">IF(I254="","",TODAY()-I254)</f>
        <v>8</v>
      </c>
      <c r="AN254" s="7" t="n">
        <f aca="false">IF(A254="","",IF(AND(E254&lt;&gt;"33 確認済",E254&lt;&gt;"36 送付中"),1,0))</f>
        <v>1</v>
      </c>
      <c r="AO254" s="7" t="n">
        <f aca="false">IF(A254="","",IF(AG254&lt;&gt;"",1,0))</f>
        <v>0</v>
      </c>
    </row>
    <row r="255" customFormat="false" ht="15" hidden="false" customHeight="false" outlineLevel="0" collapsed="false">
      <c r="A255" s="3" t="n">
        <v>202660001411</v>
      </c>
      <c r="B255" s="3"/>
      <c r="C255" s="3"/>
      <c r="D255" s="3" t="n">
        <v>20</v>
      </c>
      <c r="E255" s="3" t="s">
        <v>69</v>
      </c>
      <c r="F255" s="3"/>
      <c r="G255" s="3"/>
      <c r="H255" s="4" t="n">
        <v>46070</v>
      </c>
      <c r="I255" s="5" t="n">
        <v>46281</v>
      </c>
      <c r="J255" s="3"/>
      <c r="K255" s="3"/>
      <c r="L255" s="3"/>
      <c r="M255" s="3"/>
      <c r="N255" s="3"/>
      <c r="O255" s="3" t="s">
        <v>67</v>
      </c>
      <c r="P255" s="6" t="s">
        <v>60</v>
      </c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 t="n">
        <v>25</v>
      </c>
      <c r="AC255" s="3" t="n">
        <v>1</v>
      </c>
      <c r="AD255" s="6" t="s">
        <v>46</v>
      </c>
      <c r="AE255" s="3" t="s">
        <v>54</v>
      </c>
      <c r="AF255" s="6" t="s">
        <v>46</v>
      </c>
      <c r="AG255" s="3"/>
      <c r="AH255" s="6" t="s">
        <v>46</v>
      </c>
      <c r="AI255" s="3"/>
      <c r="AJ255" s="3"/>
      <c r="AK255" s="3"/>
      <c r="AL255" s="7" t="n">
        <f aca="false">IF(A255="","",IF(COUNTIF(A255:A$2001,A255)=1,1,0))</f>
        <v>1</v>
      </c>
      <c r="AM255" s="7" t="n">
        <f aca="true">IF(I255="","",TODAY()-I255)</f>
        <v>9</v>
      </c>
      <c r="AN255" s="7" t="n">
        <f aca="false">IF(A255="","",IF(AND(E255&lt;&gt;"33 確認済",E255&lt;&gt;"36 送付中"),1,0))</f>
        <v>1</v>
      </c>
      <c r="AO255" s="7" t="n">
        <f aca="false">IF(A255="","",IF(AG255&lt;&gt;"",1,0))</f>
        <v>0</v>
      </c>
    </row>
    <row r="256" customFormat="false" ht="15" hidden="false" customHeight="false" outlineLevel="0" collapsed="false">
      <c r="A256" s="3" t="n">
        <v>202660001414</v>
      </c>
      <c r="B256" s="3"/>
      <c r="C256" s="3"/>
      <c r="D256" s="3" t="n">
        <v>20</v>
      </c>
      <c r="E256" s="3" t="s">
        <v>69</v>
      </c>
      <c r="F256" s="3"/>
      <c r="G256" s="3"/>
      <c r="H256" s="4" t="n">
        <v>46023</v>
      </c>
      <c r="I256" s="5" t="n">
        <v>46281</v>
      </c>
      <c r="J256" s="3"/>
      <c r="K256" s="3"/>
      <c r="L256" s="3"/>
      <c r="M256" s="3"/>
      <c r="N256" s="3"/>
      <c r="O256" s="3" t="s">
        <v>67</v>
      </c>
      <c r="P256" s="6" t="s">
        <v>60</v>
      </c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 t="n">
        <v>21</v>
      </c>
      <c r="AC256" s="3" t="n">
        <v>1</v>
      </c>
      <c r="AD256" s="6" t="s">
        <v>46</v>
      </c>
      <c r="AE256" s="3" t="s">
        <v>55</v>
      </c>
      <c r="AF256" s="3"/>
      <c r="AG256" s="3"/>
      <c r="AH256" s="6" t="s">
        <v>46</v>
      </c>
      <c r="AI256" s="3"/>
      <c r="AJ256" s="3"/>
      <c r="AK256" s="3"/>
      <c r="AL256" s="7" t="n">
        <f aca="false">IF(A256="","",IF(COUNTIF(A256:A$2001,A256)=1,1,0))</f>
        <v>1</v>
      </c>
      <c r="AM256" s="7" t="n">
        <f aca="true">IF(I256="","",TODAY()-I256)</f>
        <v>9</v>
      </c>
      <c r="AN256" s="7" t="n">
        <f aca="false">IF(A256="","",IF(AND(E256&lt;&gt;"33 確認済",E256&lt;&gt;"36 送付中"),1,0))</f>
        <v>1</v>
      </c>
      <c r="AO256" s="7" t="n">
        <f aca="false">IF(A256="","",IF(AG256&lt;&gt;"",1,0))</f>
        <v>0</v>
      </c>
    </row>
    <row r="257" customFormat="false" ht="15" hidden="false" customHeight="false" outlineLevel="0" collapsed="false">
      <c r="A257" s="3" t="n">
        <v>202660001415</v>
      </c>
      <c r="B257" s="3"/>
      <c r="C257" s="3"/>
      <c r="D257" s="3" t="n">
        <v>30</v>
      </c>
      <c r="E257" s="3" t="s">
        <v>93</v>
      </c>
      <c r="F257" s="3"/>
      <c r="G257" s="3"/>
      <c r="H257" s="4" t="n">
        <v>46113</v>
      </c>
      <c r="I257" s="5" t="n">
        <v>46281</v>
      </c>
      <c r="J257" s="4" t="n">
        <v>46289</v>
      </c>
      <c r="K257" s="3"/>
      <c r="L257" s="3"/>
      <c r="M257" s="3"/>
      <c r="N257" s="3"/>
      <c r="O257" s="3" t="s">
        <v>94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 t="n">
        <v>47</v>
      </c>
      <c r="AC257" s="3" t="n">
        <v>0</v>
      </c>
      <c r="AD257" s="6" t="s">
        <v>43</v>
      </c>
      <c r="AE257" s="3" t="s">
        <v>44</v>
      </c>
      <c r="AF257" s="6" t="s">
        <v>43</v>
      </c>
      <c r="AG257" s="6" t="s">
        <v>43</v>
      </c>
      <c r="AH257" s="6" t="s">
        <v>43</v>
      </c>
      <c r="AI257" s="3"/>
      <c r="AJ257" s="3"/>
      <c r="AK257" s="3"/>
      <c r="AL257" s="7" t="n">
        <f aca="false">IF(A257="","",IF(COUNTIF(A257:A$2001,A257)=1,1,0))</f>
        <v>1</v>
      </c>
      <c r="AM257" s="7" t="n">
        <f aca="true">IF(I257="","",TODAY()-I257)</f>
        <v>9</v>
      </c>
      <c r="AN257" s="7" t="n">
        <f aca="false">IF(A257="","",IF(AND(E257&lt;&gt;"33 確認済",E257&lt;&gt;"36 送付中"),1,0))</f>
        <v>1</v>
      </c>
      <c r="AO257" s="7" t="n">
        <f aca="false">IF(A257="","",IF(AG257&lt;&gt;"",1,0))</f>
        <v>1</v>
      </c>
    </row>
    <row r="258" customFormat="false" ht="15" hidden="false" customHeight="false" outlineLevel="0" collapsed="false">
      <c r="A258" s="3" t="n">
        <v>202660001416</v>
      </c>
      <c r="B258" s="3"/>
      <c r="C258" s="3"/>
      <c r="D258" s="3" t="n">
        <v>31</v>
      </c>
      <c r="E258" s="3" t="s">
        <v>41</v>
      </c>
      <c r="F258" s="3"/>
      <c r="G258" s="3"/>
      <c r="H258" s="4" t="n">
        <v>46281</v>
      </c>
      <c r="I258" s="5" t="n">
        <v>46281</v>
      </c>
      <c r="J258" s="4" t="n">
        <v>46289</v>
      </c>
      <c r="K258" s="4" t="n">
        <v>46289</v>
      </c>
      <c r="L258" s="3"/>
      <c r="M258" s="3"/>
      <c r="N258" s="3"/>
      <c r="O258" s="3" t="s">
        <v>56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 t="n">
        <v>51</v>
      </c>
      <c r="AC258" s="3" t="n">
        <v>0</v>
      </c>
      <c r="AD258" s="6" t="s">
        <v>43</v>
      </c>
      <c r="AE258" s="3" t="s">
        <v>72</v>
      </c>
      <c r="AF258" s="3"/>
      <c r="AG258" s="6" t="s">
        <v>43</v>
      </c>
      <c r="AH258" s="6" t="s">
        <v>43</v>
      </c>
      <c r="AI258" s="3"/>
      <c r="AJ258" s="3"/>
      <c r="AK258" s="3"/>
      <c r="AL258" s="7" t="n">
        <f aca="false">IF(A258="","",IF(COUNTIF(A258:A$2001,A258)=1,1,0))</f>
        <v>1</v>
      </c>
      <c r="AM258" s="7" t="n">
        <f aca="true">IF(I258="","",TODAY()-I258)</f>
        <v>9</v>
      </c>
      <c r="AN258" s="7" t="n">
        <f aca="false">IF(A258="","",IF(AND(E258&lt;&gt;"33 確認済",E258&lt;&gt;"36 送付中"),1,0))</f>
        <v>1</v>
      </c>
      <c r="AO258" s="7" t="n">
        <f aca="false">IF(A258="","",IF(AG258&lt;&gt;"",1,0))</f>
        <v>1</v>
      </c>
    </row>
    <row r="259" customFormat="false" ht="15" hidden="false" customHeight="false" outlineLevel="0" collapsed="false">
      <c r="A259" s="3" t="n">
        <v>202660001418</v>
      </c>
      <c r="B259" s="3"/>
      <c r="C259" s="3"/>
      <c r="D259" s="3" t="n">
        <v>32</v>
      </c>
      <c r="E259" s="3" t="s">
        <v>74</v>
      </c>
      <c r="F259" s="3"/>
      <c r="G259" s="3"/>
      <c r="H259" s="4" t="n">
        <v>46136</v>
      </c>
      <c r="I259" s="5" t="n">
        <v>46281</v>
      </c>
      <c r="J259" s="4" t="n">
        <v>46282</v>
      </c>
      <c r="K259" s="4" t="n">
        <v>46282</v>
      </c>
      <c r="L259" s="3"/>
      <c r="M259" s="3"/>
      <c r="N259" s="3"/>
      <c r="O259" s="3" t="s">
        <v>75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 t="n">
        <v>3</v>
      </c>
      <c r="AC259" s="3" t="n">
        <v>0</v>
      </c>
      <c r="AD259" s="6" t="s">
        <v>43</v>
      </c>
      <c r="AE259" s="3" t="s">
        <v>73</v>
      </c>
      <c r="AF259" s="3"/>
      <c r="AG259" s="3"/>
      <c r="AH259" s="3"/>
      <c r="AI259" s="3"/>
      <c r="AJ259" s="3"/>
      <c r="AK259" s="3"/>
      <c r="AL259" s="7" t="n">
        <f aca="false">IF(A259="","",IF(COUNTIF(A259:A$2001,A259)=1,1,0))</f>
        <v>1</v>
      </c>
      <c r="AM259" s="7" t="n">
        <f aca="true">IF(I259="","",TODAY()-I259)</f>
        <v>9</v>
      </c>
      <c r="AN259" s="7" t="n">
        <f aca="false">IF(A259="","",IF(AND(E259&lt;&gt;"33 確認済",E259&lt;&gt;"36 送付中"),1,0))</f>
        <v>1</v>
      </c>
      <c r="AO259" s="7" t="n">
        <f aca="false">IF(A259="","",IF(AG259&lt;&gt;"",1,0))</f>
        <v>0</v>
      </c>
    </row>
    <row r="260" customFormat="false" ht="15" hidden="false" customHeight="false" outlineLevel="0" collapsed="false">
      <c r="A260" s="3" t="n">
        <v>202660001419</v>
      </c>
      <c r="B260" s="3"/>
      <c r="C260" s="3"/>
      <c r="D260" s="3" t="n">
        <v>20</v>
      </c>
      <c r="E260" s="3" t="s">
        <v>69</v>
      </c>
      <c r="F260" s="3"/>
      <c r="G260" s="3"/>
      <c r="H260" s="4" t="n">
        <v>46113</v>
      </c>
      <c r="I260" s="5" t="n">
        <v>46281</v>
      </c>
      <c r="J260" s="3"/>
      <c r="K260" s="3"/>
      <c r="L260" s="3"/>
      <c r="M260" s="3"/>
      <c r="N260" s="3"/>
      <c r="O260" s="3" t="s">
        <v>81</v>
      </c>
      <c r="P260" s="3"/>
      <c r="Q260" s="3"/>
      <c r="R260" s="6" t="s">
        <v>71</v>
      </c>
      <c r="S260" s="3"/>
      <c r="T260" s="3"/>
      <c r="U260" s="3"/>
      <c r="V260" s="3"/>
      <c r="W260" s="3"/>
      <c r="X260" s="3"/>
      <c r="Y260" s="3"/>
      <c r="Z260" s="3"/>
      <c r="AA260" s="3"/>
      <c r="AB260" s="3" t="n">
        <v>50</v>
      </c>
      <c r="AC260" s="3" t="n">
        <v>0</v>
      </c>
      <c r="AD260" s="6" t="s">
        <v>43</v>
      </c>
      <c r="AE260" s="3" t="s">
        <v>59</v>
      </c>
      <c r="AF260" s="3"/>
      <c r="AG260" s="3"/>
      <c r="AH260" s="6" t="s">
        <v>43</v>
      </c>
      <c r="AI260" s="3"/>
      <c r="AJ260" s="3"/>
      <c r="AK260" s="3"/>
      <c r="AL260" s="7" t="n">
        <f aca="false">IF(A260="","",IF(COUNTIF(A260:A$2001,A260)=1,1,0))</f>
        <v>1</v>
      </c>
      <c r="AM260" s="7" t="n">
        <f aca="true">IF(I260="","",TODAY()-I260)</f>
        <v>9</v>
      </c>
      <c r="AN260" s="7" t="n">
        <f aca="false">IF(A260="","",IF(AND(E260&lt;&gt;"33 確認済",E260&lt;&gt;"36 送付中"),1,0))</f>
        <v>1</v>
      </c>
      <c r="AO260" s="7" t="n">
        <f aca="false">IF(A260="","",IF(AG260&lt;&gt;"",1,0))</f>
        <v>0</v>
      </c>
    </row>
    <row r="261" customFormat="false" ht="15" hidden="false" customHeight="false" outlineLevel="0" collapsed="false">
      <c r="A261" s="3" t="n">
        <v>202660001421</v>
      </c>
      <c r="B261" s="3"/>
      <c r="C261" s="3"/>
      <c r="D261" s="3" t="n">
        <v>30</v>
      </c>
      <c r="E261" s="3" t="s">
        <v>93</v>
      </c>
      <c r="F261" s="3"/>
      <c r="G261" s="3"/>
      <c r="H261" s="4" t="n">
        <v>46143</v>
      </c>
      <c r="I261" s="5" t="n">
        <v>46281</v>
      </c>
      <c r="J261" s="4" t="n">
        <v>46289</v>
      </c>
      <c r="K261" s="3"/>
      <c r="L261" s="3"/>
      <c r="M261" s="3"/>
      <c r="N261" s="3"/>
      <c r="O261" s="3" t="s">
        <v>94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 t="n">
        <v>49</v>
      </c>
      <c r="AC261" s="3" t="n">
        <v>0</v>
      </c>
      <c r="AD261" s="6" t="s">
        <v>43</v>
      </c>
      <c r="AE261" s="3" t="s">
        <v>83</v>
      </c>
      <c r="AF261" s="3"/>
      <c r="AG261" s="3"/>
      <c r="AH261" s="6" t="s">
        <v>43</v>
      </c>
      <c r="AI261" s="3"/>
      <c r="AJ261" s="3"/>
      <c r="AK261" s="3"/>
      <c r="AL261" s="7" t="n">
        <f aca="false">IF(A261="","",IF(COUNTIF(A261:A$2001,A261)=1,1,0))</f>
        <v>1</v>
      </c>
      <c r="AM261" s="7" t="n">
        <f aca="true">IF(I261="","",TODAY()-I261)</f>
        <v>9</v>
      </c>
      <c r="AN261" s="7" t="n">
        <f aca="false">IF(A261="","",IF(AND(E261&lt;&gt;"33 確認済",E261&lt;&gt;"36 送付中"),1,0))</f>
        <v>1</v>
      </c>
      <c r="AO261" s="7" t="n">
        <f aca="false">IF(A261="","",IF(AG261&lt;&gt;"",1,0))</f>
        <v>0</v>
      </c>
    </row>
    <row r="262" customFormat="false" ht="15" hidden="false" customHeight="false" outlineLevel="0" collapsed="false">
      <c r="A262" s="3" t="n">
        <v>202660001423</v>
      </c>
      <c r="B262" s="3"/>
      <c r="C262" s="3"/>
      <c r="D262" s="3" t="n">
        <v>31</v>
      </c>
      <c r="E262" s="3" t="s">
        <v>41</v>
      </c>
      <c r="F262" s="3"/>
      <c r="G262" s="3"/>
      <c r="H262" s="4" t="n">
        <v>46266</v>
      </c>
      <c r="I262" s="5" t="n">
        <v>46281</v>
      </c>
      <c r="J262" s="4" t="n">
        <v>46283</v>
      </c>
      <c r="K262" s="4" t="n">
        <v>46283</v>
      </c>
      <c r="L262" s="3"/>
      <c r="M262" s="3"/>
      <c r="N262" s="3"/>
      <c r="O262" s="3" t="s">
        <v>56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 t="n">
        <v>26</v>
      </c>
      <c r="AC262" s="3" t="n">
        <v>1</v>
      </c>
      <c r="AD262" s="6" t="s">
        <v>46</v>
      </c>
      <c r="AE262" s="3" t="s">
        <v>57</v>
      </c>
      <c r="AF262" s="6" t="s">
        <v>46</v>
      </c>
      <c r="AG262" s="6" t="s">
        <v>46</v>
      </c>
      <c r="AH262" s="6" t="s">
        <v>46</v>
      </c>
      <c r="AI262" s="3"/>
      <c r="AJ262" s="3"/>
      <c r="AK262" s="3"/>
      <c r="AL262" s="7" t="n">
        <f aca="false">IF(A262="","",IF(COUNTIF(A262:A$2001,A262)=1,1,0))</f>
        <v>1</v>
      </c>
      <c r="AM262" s="7" t="n">
        <f aca="true">IF(I262="","",TODAY()-I262)</f>
        <v>9</v>
      </c>
      <c r="AN262" s="7" t="n">
        <f aca="false">IF(A262="","",IF(AND(E262&lt;&gt;"33 確認済",E262&lt;&gt;"36 送付中"),1,0))</f>
        <v>1</v>
      </c>
      <c r="AO262" s="7" t="n">
        <f aca="false">IF(A262="","",IF(AG262&lt;&gt;"",1,0))</f>
        <v>1</v>
      </c>
    </row>
    <row r="263" customFormat="false" ht="15" hidden="false" customHeight="false" outlineLevel="0" collapsed="false">
      <c r="A263" s="3" t="n">
        <v>202660001424</v>
      </c>
      <c r="B263" s="3"/>
      <c r="C263" s="3"/>
      <c r="D263" s="3" t="n">
        <v>31</v>
      </c>
      <c r="E263" s="3" t="s">
        <v>41</v>
      </c>
      <c r="F263" s="3"/>
      <c r="G263" s="3"/>
      <c r="H263" s="4" t="n">
        <v>46225</v>
      </c>
      <c r="I263" s="5" t="n">
        <v>46282</v>
      </c>
      <c r="J263" s="4" t="n">
        <v>46282</v>
      </c>
      <c r="K263" s="4" t="n">
        <v>46283</v>
      </c>
      <c r="L263" s="3"/>
      <c r="M263" s="3"/>
      <c r="N263" s="3"/>
      <c r="O263" s="3" t="s">
        <v>42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 t="n">
        <v>23</v>
      </c>
      <c r="AC263" s="3" t="n">
        <v>1</v>
      </c>
      <c r="AD263" s="6" t="s">
        <v>46</v>
      </c>
      <c r="AE263" s="3" t="s">
        <v>52</v>
      </c>
      <c r="AF263" s="3"/>
      <c r="AG263" s="3"/>
      <c r="AH263" s="3"/>
      <c r="AI263" s="3"/>
      <c r="AJ263" s="3"/>
      <c r="AK263" s="3"/>
      <c r="AL263" s="7" t="n">
        <f aca="false">IF(A263="","",IF(COUNTIF(A263:A$2001,A263)=1,1,0))</f>
        <v>0</v>
      </c>
      <c r="AM263" s="7" t="n">
        <f aca="true">IF(I263="","",TODAY()-I263)</f>
        <v>8</v>
      </c>
      <c r="AN263" s="7" t="n">
        <f aca="false">IF(A263="","",IF(AND(E263&lt;&gt;"33 確認済",E263&lt;&gt;"36 送付中"),1,0))</f>
        <v>1</v>
      </c>
      <c r="AO263" s="7" t="n">
        <f aca="false">IF(A263="","",IF(AG263&lt;&gt;"",1,0))</f>
        <v>0</v>
      </c>
    </row>
    <row r="264" customFormat="false" ht="15" hidden="false" customHeight="false" outlineLevel="0" collapsed="false">
      <c r="A264" s="3" t="n">
        <v>202660001424</v>
      </c>
      <c r="B264" s="3"/>
      <c r="C264" s="3"/>
      <c r="D264" s="3" t="n">
        <v>31</v>
      </c>
      <c r="E264" s="3" t="s">
        <v>41</v>
      </c>
      <c r="F264" s="3"/>
      <c r="G264" s="3"/>
      <c r="H264" s="4" t="n">
        <v>46225</v>
      </c>
      <c r="I264" s="5" t="n">
        <v>46282</v>
      </c>
      <c r="J264" s="4" t="n">
        <v>46282</v>
      </c>
      <c r="K264" s="4" t="n">
        <v>46283</v>
      </c>
      <c r="L264" s="3"/>
      <c r="M264" s="3"/>
      <c r="N264" s="3"/>
      <c r="O264" s="3" t="s">
        <v>42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 t="n">
        <v>23</v>
      </c>
      <c r="AC264" s="3" t="n">
        <v>1</v>
      </c>
      <c r="AD264" s="6" t="s">
        <v>46</v>
      </c>
      <c r="AE264" s="3" t="s">
        <v>53</v>
      </c>
      <c r="AF264" s="3"/>
      <c r="AG264" s="3"/>
      <c r="AH264" s="3"/>
      <c r="AI264" s="3"/>
      <c r="AJ264" s="3"/>
      <c r="AK264" s="3"/>
      <c r="AL264" s="7" t="n">
        <f aca="false">IF(A264="","",IF(COUNTIF(A264:A$2001,A264)=1,1,0))</f>
        <v>1</v>
      </c>
      <c r="AM264" s="7" t="n">
        <f aca="true">IF(I264="","",TODAY()-I264)</f>
        <v>8</v>
      </c>
      <c r="AN264" s="7" t="n">
        <f aca="false">IF(A264="","",IF(AND(E264&lt;&gt;"33 確認済",E264&lt;&gt;"36 送付中"),1,0))</f>
        <v>1</v>
      </c>
      <c r="AO264" s="7" t="n">
        <f aca="false">IF(A264="","",IF(AG264&lt;&gt;"",1,0))</f>
        <v>0</v>
      </c>
    </row>
    <row r="265" customFormat="false" ht="15" hidden="false" customHeight="false" outlineLevel="0" collapsed="false">
      <c r="A265" s="3" t="n">
        <v>202660001425</v>
      </c>
      <c r="B265" s="3"/>
      <c r="C265" s="3"/>
      <c r="D265" s="3" t="n">
        <v>31</v>
      </c>
      <c r="E265" s="3" t="s">
        <v>41</v>
      </c>
      <c r="F265" s="3"/>
      <c r="G265" s="3"/>
      <c r="H265" s="4" t="n">
        <v>46282</v>
      </c>
      <c r="I265" s="5" t="n">
        <v>46282</v>
      </c>
      <c r="J265" s="4" t="n">
        <v>46289</v>
      </c>
      <c r="K265" s="4" t="n">
        <v>46289</v>
      </c>
      <c r="L265" s="3"/>
      <c r="M265" s="3"/>
      <c r="N265" s="3"/>
      <c r="O265" s="3" t="s">
        <v>56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 t="n">
        <v>25</v>
      </c>
      <c r="AC265" s="3" t="n">
        <v>1</v>
      </c>
      <c r="AD265" s="6" t="s">
        <v>46</v>
      </c>
      <c r="AE265" s="3" t="s">
        <v>54</v>
      </c>
      <c r="AF265" s="3"/>
      <c r="AG265" s="3"/>
      <c r="AH265" s="6" t="s">
        <v>46</v>
      </c>
      <c r="AI265" s="3"/>
      <c r="AJ265" s="3"/>
      <c r="AK265" s="3"/>
      <c r="AL265" s="7" t="n">
        <f aca="false">IF(A265="","",IF(COUNTIF(A265:A$2001,A265)=1,1,0))</f>
        <v>1</v>
      </c>
      <c r="AM265" s="7" t="n">
        <f aca="true">IF(I265="","",TODAY()-I265)</f>
        <v>8</v>
      </c>
      <c r="AN265" s="7" t="n">
        <f aca="false">IF(A265="","",IF(AND(E265&lt;&gt;"33 確認済",E265&lt;&gt;"36 送付中"),1,0))</f>
        <v>1</v>
      </c>
      <c r="AO265" s="7" t="n">
        <f aca="false">IF(A265="","",IF(AG265&lt;&gt;"",1,0))</f>
        <v>0</v>
      </c>
    </row>
    <row r="266" customFormat="false" ht="15" hidden="false" customHeight="false" outlineLevel="0" collapsed="false">
      <c r="A266" s="3" t="n">
        <v>202660001426</v>
      </c>
      <c r="B266" s="3"/>
      <c r="C266" s="3"/>
      <c r="D266" s="3" t="n">
        <v>30</v>
      </c>
      <c r="E266" s="3" t="s">
        <v>93</v>
      </c>
      <c r="F266" s="3"/>
      <c r="G266" s="3"/>
      <c r="H266" s="4" t="n">
        <v>46113</v>
      </c>
      <c r="I266" s="5" t="n">
        <v>46282</v>
      </c>
      <c r="J266" s="4" t="n">
        <v>46289</v>
      </c>
      <c r="K266" s="3"/>
      <c r="L266" s="3"/>
      <c r="M266" s="3"/>
      <c r="N266" s="3"/>
      <c r="O266" s="3" t="s">
        <v>94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 t="n">
        <v>47</v>
      </c>
      <c r="AC266" s="3" t="n">
        <v>0</v>
      </c>
      <c r="AD266" s="6" t="s">
        <v>43</v>
      </c>
      <c r="AE266" s="3" t="s">
        <v>44</v>
      </c>
      <c r="AF266" s="3"/>
      <c r="AG266" s="3"/>
      <c r="AH266" s="6" t="s">
        <v>43</v>
      </c>
      <c r="AI266" s="3"/>
      <c r="AJ266" s="3"/>
      <c r="AK266" s="3"/>
      <c r="AL266" s="7" t="n">
        <f aca="false">IF(A266="","",IF(COUNTIF(A266:A$2001,A266)=1,1,0))</f>
        <v>1</v>
      </c>
      <c r="AM266" s="7" t="n">
        <f aca="true">IF(I266="","",TODAY()-I266)</f>
        <v>8</v>
      </c>
      <c r="AN266" s="7" t="n">
        <f aca="false">IF(A266="","",IF(AND(E266&lt;&gt;"33 確認済",E266&lt;&gt;"36 送付中"),1,0))</f>
        <v>1</v>
      </c>
      <c r="AO266" s="7" t="n">
        <f aca="false">IF(A266="","",IF(AG266&lt;&gt;"",1,0))</f>
        <v>0</v>
      </c>
    </row>
    <row r="267" customFormat="false" ht="15" hidden="false" customHeight="false" outlineLevel="0" collapsed="false">
      <c r="A267" s="3" t="n">
        <v>202660001428</v>
      </c>
      <c r="B267" s="3"/>
      <c r="C267" s="3"/>
      <c r="D267" s="3" t="n">
        <v>30</v>
      </c>
      <c r="E267" s="3" t="s">
        <v>93</v>
      </c>
      <c r="F267" s="3"/>
      <c r="G267" s="3"/>
      <c r="H267" s="4" t="n">
        <v>46242</v>
      </c>
      <c r="I267" s="5" t="n">
        <v>46282</v>
      </c>
      <c r="J267" s="4" t="n">
        <v>46282</v>
      </c>
      <c r="K267" s="3"/>
      <c r="L267" s="3"/>
      <c r="M267" s="3"/>
      <c r="N267" s="3"/>
      <c r="O267" s="3" t="s">
        <v>94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 t="n">
        <v>23</v>
      </c>
      <c r="AC267" s="3" t="n">
        <v>1</v>
      </c>
      <c r="AD267" s="6" t="s">
        <v>46</v>
      </c>
      <c r="AE267" s="3" t="s">
        <v>52</v>
      </c>
      <c r="AF267" s="3"/>
      <c r="AG267" s="3"/>
      <c r="AH267" s="3"/>
      <c r="AI267" s="3"/>
      <c r="AJ267" s="3"/>
      <c r="AK267" s="3"/>
      <c r="AL267" s="7" t="n">
        <f aca="false">IF(A267="","",IF(COUNTIF(A267:A$2001,A267)=1,1,0))</f>
        <v>0</v>
      </c>
      <c r="AM267" s="7" t="n">
        <f aca="true">IF(I267="","",TODAY()-I267)</f>
        <v>8</v>
      </c>
      <c r="AN267" s="7" t="n">
        <f aca="false">IF(A267="","",IF(AND(E267&lt;&gt;"33 確認済",E267&lt;&gt;"36 送付中"),1,0))</f>
        <v>1</v>
      </c>
      <c r="AO267" s="7" t="n">
        <f aca="false">IF(A267="","",IF(AG267&lt;&gt;"",1,0))</f>
        <v>0</v>
      </c>
    </row>
    <row r="268" customFormat="false" ht="15" hidden="false" customHeight="false" outlineLevel="0" collapsed="false">
      <c r="A268" s="3" t="n">
        <v>202660001428</v>
      </c>
      <c r="B268" s="3"/>
      <c r="C268" s="3"/>
      <c r="D268" s="3" t="n">
        <v>30</v>
      </c>
      <c r="E268" s="3" t="s">
        <v>93</v>
      </c>
      <c r="F268" s="3"/>
      <c r="G268" s="3"/>
      <c r="H268" s="4" t="n">
        <v>46242</v>
      </c>
      <c r="I268" s="5" t="n">
        <v>46282</v>
      </c>
      <c r="J268" s="4" t="n">
        <v>46282</v>
      </c>
      <c r="K268" s="3"/>
      <c r="L268" s="3"/>
      <c r="M268" s="3"/>
      <c r="N268" s="3"/>
      <c r="O268" s="3" t="s">
        <v>94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 t="n">
        <v>23</v>
      </c>
      <c r="AC268" s="3" t="n">
        <v>1</v>
      </c>
      <c r="AD268" s="6" t="s">
        <v>46</v>
      </c>
      <c r="AE268" s="3" t="s">
        <v>53</v>
      </c>
      <c r="AF268" s="3"/>
      <c r="AG268" s="3"/>
      <c r="AH268" s="3"/>
      <c r="AI268" s="3"/>
      <c r="AJ268" s="3"/>
      <c r="AK268" s="3"/>
      <c r="AL268" s="7" t="n">
        <f aca="false">IF(A268="","",IF(COUNTIF(A268:A$2001,A268)=1,1,0))</f>
        <v>1</v>
      </c>
      <c r="AM268" s="7" t="n">
        <f aca="true">IF(I268="","",TODAY()-I268)</f>
        <v>8</v>
      </c>
      <c r="AN268" s="7" t="n">
        <f aca="false">IF(A268="","",IF(AND(E268&lt;&gt;"33 確認済",E268&lt;&gt;"36 送付中"),1,0))</f>
        <v>1</v>
      </c>
      <c r="AO268" s="7" t="n">
        <f aca="false">IF(A268="","",IF(AG268&lt;&gt;"",1,0))</f>
        <v>0</v>
      </c>
    </row>
    <row r="269" customFormat="false" ht="15" hidden="false" customHeight="false" outlineLevel="0" collapsed="false">
      <c r="A269" s="3" t="n">
        <v>202660001430</v>
      </c>
      <c r="B269" s="3"/>
      <c r="C269" s="3"/>
      <c r="D269" s="3" t="n">
        <v>30</v>
      </c>
      <c r="E269" s="3" t="s">
        <v>93</v>
      </c>
      <c r="F269" s="3"/>
      <c r="G269" s="3"/>
      <c r="H269" s="4" t="n">
        <v>46072</v>
      </c>
      <c r="I269" s="5" t="n">
        <v>46282</v>
      </c>
      <c r="J269" s="4" t="n">
        <v>46289</v>
      </c>
      <c r="K269" s="3"/>
      <c r="L269" s="3"/>
      <c r="M269" s="3"/>
      <c r="N269" s="3"/>
      <c r="O269" s="3" t="s">
        <v>94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 t="n">
        <v>9</v>
      </c>
      <c r="AC269" s="3" t="n">
        <v>0</v>
      </c>
      <c r="AD269" s="6" t="s">
        <v>43</v>
      </c>
      <c r="AE269" s="3" t="s">
        <v>65</v>
      </c>
      <c r="AF269" s="3"/>
      <c r="AG269" s="3"/>
      <c r="AH269" s="6" t="s">
        <v>43</v>
      </c>
      <c r="AI269" s="3"/>
      <c r="AJ269" s="3"/>
      <c r="AK269" s="3"/>
      <c r="AL269" s="7" t="n">
        <f aca="false">IF(A269="","",IF(COUNTIF(A269:A$2001,A269)=1,1,0))</f>
        <v>1</v>
      </c>
      <c r="AM269" s="7" t="n">
        <f aca="true">IF(I269="","",TODAY()-I269)</f>
        <v>8</v>
      </c>
      <c r="AN269" s="7" t="n">
        <f aca="false">IF(A269="","",IF(AND(E269&lt;&gt;"33 確認済",E269&lt;&gt;"36 送付中"),1,0))</f>
        <v>1</v>
      </c>
      <c r="AO269" s="7" t="n">
        <f aca="false">IF(A269="","",IF(AG269&lt;&gt;"",1,0))</f>
        <v>0</v>
      </c>
    </row>
    <row r="270" customFormat="false" ht="15" hidden="false" customHeight="false" outlineLevel="0" collapsed="false">
      <c r="A270" s="3" t="n">
        <v>202660001431</v>
      </c>
      <c r="B270" s="3"/>
      <c r="C270" s="3"/>
      <c r="D270" s="3" t="n">
        <v>30</v>
      </c>
      <c r="E270" s="3" t="s">
        <v>93</v>
      </c>
      <c r="F270" s="3"/>
      <c r="G270" s="3"/>
      <c r="H270" s="4" t="n">
        <v>46074</v>
      </c>
      <c r="I270" s="5" t="n">
        <v>46282</v>
      </c>
      <c r="J270" s="4" t="n">
        <v>46289</v>
      </c>
      <c r="K270" s="3"/>
      <c r="L270" s="3"/>
      <c r="M270" s="3"/>
      <c r="N270" s="3"/>
      <c r="O270" s="3" t="s">
        <v>94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 t="n">
        <v>47</v>
      </c>
      <c r="AC270" s="3" t="n">
        <v>0</v>
      </c>
      <c r="AD270" s="6" t="s">
        <v>43</v>
      </c>
      <c r="AE270" s="3" t="s">
        <v>44</v>
      </c>
      <c r="AF270" s="3"/>
      <c r="AG270" s="3"/>
      <c r="AH270" s="6" t="s">
        <v>43</v>
      </c>
      <c r="AI270" s="3"/>
      <c r="AJ270" s="3"/>
      <c r="AK270" s="3"/>
      <c r="AL270" s="7" t="n">
        <f aca="false">IF(A270="","",IF(COUNTIF(A270:A$2001,A270)=1,1,0))</f>
        <v>1</v>
      </c>
      <c r="AM270" s="7" t="n">
        <f aca="true">IF(I270="","",TODAY()-I270)</f>
        <v>8</v>
      </c>
      <c r="AN270" s="7" t="n">
        <f aca="false">IF(A270="","",IF(AND(E270&lt;&gt;"33 確認済",E270&lt;&gt;"36 送付中"),1,0))</f>
        <v>1</v>
      </c>
      <c r="AO270" s="7" t="n">
        <f aca="false">IF(A270="","",IF(AG270&lt;&gt;"",1,0))</f>
        <v>0</v>
      </c>
    </row>
    <row r="271" customFormat="false" ht="15" hidden="false" customHeight="false" outlineLevel="0" collapsed="false">
      <c r="A271" s="3" t="n">
        <v>202660001433</v>
      </c>
      <c r="B271" s="3"/>
      <c r="C271" s="3"/>
      <c r="D271" s="3" t="n">
        <v>20</v>
      </c>
      <c r="E271" s="3" t="s">
        <v>69</v>
      </c>
      <c r="F271" s="3"/>
      <c r="G271" s="3"/>
      <c r="H271" s="4" t="n">
        <v>46282</v>
      </c>
      <c r="I271" s="5" t="n">
        <v>46282</v>
      </c>
      <c r="J271" s="3"/>
      <c r="K271" s="3"/>
      <c r="L271" s="3"/>
      <c r="M271" s="3"/>
      <c r="N271" s="3"/>
      <c r="O271" s="3" t="s">
        <v>67</v>
      </c>
      <c r="P271" s="6" t="s">
        <v>60</v>
      </c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 t="n">
        <v>26</v>
      </c>
      <c r="AC271" s="3" t="n">
        <v>1</v>
      </c>
      <c r="AD271" s="6" t="s">
        <v>46</v>
      </c>
      <c r="AE271" s="3" t="s">
        <v>57</v>
      </c>
      <c r="AF271" s="3"/>
      <c r="AG271" s="3"/>
      <c r="AH271" s="6" t="s">
        <v>46</v>
      </c>
      <c r="AI271" s="3"/>
      <c r="AJ271" s="3"/>
      <c r="AK271" s="3"/>
      <c r="AL271" s="7" t="n">
        <f aca="false">IF(A271="","",IF(COUNTIF(A271:A$2001,A271)=1,1,0))</f>
        <v>1</v>
      </c>
      <c r="AM271" s="7" t="n">
        <f aca="true">IF(I271="","",TODAY()-I271)</f>
        <v>8</v>
      </c>
      <c r="AN271" s="7" t="n">
        <f aca="false">IF(A271="","",IF(AND(E271&lt;&gt;"33 確認済",E271&lt;&gt;"36 送付中"),1,0))</f>
        <v>1</v>
      </c>
      <c r="AO271" s="7" t="n">
        <f aca="false">IF(A271="","",IF(AG271&lt;&gt;"",1,0))</f>
        <v>0</v>
      </c>
    </row>
    <row r="272" customFormat="false" ht="15" hidden="false" customHeight="false" outlineLevel="0" collapsed="false">
      <c r="A272" s="3" t="n">
        <v>202660001434</v>
      </c>
      <c r="B272" s="3"/>
      <c r="C272" s="3"/>
      <c r="D272" s="3" t="n">
        <v>20</v>
      </c>
      <c r="E272" s="3" t="s">
        <v>69</v>
      </c>
      <c r="F272" s="3"/>
      <c r="G272" s="3"/>
      <c r="H272" s="4" t="n">
        <v>46276</v>
      </c>
      <c r="I272" s="5" t="n">
        <v>46282</v>
      </c>
      <c r="J272" s="3"/>
      <c r="K272" s="3"/>
      <c r="L272" s="3"/>
      <c r="M272" s="3"/>
      <c r="N272" s="3"/>
      <c r="O272" s="3" t="s">
        <v>67</v>
      </c>
      <c r="P272" s="6" t="s">
        <v>60</v>
      </c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 t="n">
        <v>21</v>
      </c>
      <c r="AC272" s="3" t="n">
        <v>1</v>
      </c>
      <c r="AD272" s="6" t="s">
        <v>46</v>
      </c>
      <c r="AE272" s="3" t="s">
        <v>55</v>
      </c>
      <c r="AF272" s="6" t="s">
        <v>46</v>
      </c>
      <c r="AG272" s="6" t="s">
        <v>46</v>
      </c>
      <c r="AH272" s="6" t="s">
        <v>46</v>
      </c>
      <c r="AI272" s="3"/>
      <c r="AJ272" s="3"/>
      <c r="AK272" s="3"/>
      <c r="AL272" s="7" t="n">
        <f aca="false">IF(A272="","",IF(COUNTIF(A272:A$2001,A272)=1,1,0))</f>
        <v>1</v>
      </c>
      <c r="AM272" s="7" t="n">
        <f aca="true">IF(I272="","",TODAY()-I272)</f>
        <v>8</v>
      </c>
      <c r="AN272" s="7" t="n">
        <f aca="false">IF(A272="","",IF(AND(E272&lt;&gt;"33 確認済",E272&lt;&gt;"36 送付中"),1,0))</f>
        <v>1</v>
      </c>
      <c r="AO272" s="7" t="n">
        <f aca="false">IF(A272="","",IF(AG272&lt;&gt;"",1,0))</f>
        <v>1</v>
      </c>
    </row>
    <row r="273" customFormat="false" ht="15" hidden="false" customHeight="false" outlineLevel="0" collapsed="false">
      <c r="A273" s="3" t="n">
        <v>202660001435</v>
      </c>
      <c r="B273" s="3"/>
      <c r="C273" s="3"/>
      <c r="D273" s="3" t="n">
        <v>30</v>
      </c>
      <c r="E273" s="3" t="s">
        <v>93</v>
      </c>
      <c r="F273" s="3"/>
      <c r="G273" s="3"/>
      <c r="H273" s="4" t="n">
        <v>46081</v>
      </c>
      <c r="I273" s="5" t="n">
        <v>46282</v>
      </c>
      <c r="J273" s="4" t="n">
        <v>46289</v>
      </c>
      <c r="K273" s="3"/>
      <c r="L273" s="3"/>
      <c r="M273" s="3"/>
      <c r="N273" s="3"/>
      <c r="O273" s="3" t="s">
        <v>94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 t="n">
        <v>9</v>
      </c>
      <c r="AC273" s="3" t="n">
        <v>0</v>
      </c>
      <c r="AD273" s="6" t="s">
        <v>43</v>
      </c>
      <c r="AE273" s="3" t="s">
        <v>65</v>
      </c>
      <c r="AF273" s="3"/>
      <c r="AG273" s="3"/>
      <c r="AH273" s="6" t="s">
        <v>43</v>
      </c>
      <c r="AI273" s="3"/>
      <c r="AJ273" s="3"/>
      <c r="AK273" s="3"/>
      <c r="AL273" s="7" t="n">
        <f aca="false">IF(A273="","",IF(COUNTIF(A273:A$2001,A273)=1,1,0))</f>
        <v>1</v>
      </c>
      <c r="AM273" s="7" t="n">
        <f aca="true">IF(I273="","",TODAY()-I273)</f>
        <v>8</v>
      </c>
      <c r="AN273" s="7" t="n">
        <f aca="false">IF(A273="","",IF(AND(E273&lt;&gt;"33 確認済",E273&lt;&gt;"36 送付中"),1,0))</f>
        <v>1</v>
      </c>
      <c r="AO273" s="7" t="n">
        <f aca="false">IF(A273="","",IF(AG273&lt;&gt;"",1,0))</f>
        <v>0</v>
      </c>
    </row>
    <row r="274" customFormat="false" ht="15" hidden="false" customHeight="false" outlineLevel="0" collapsed="false">
      <c r="A274" s="3" t="n">
        <v>202660001436</v>
      </c>
      <c r="B274" s="3"/>
      <c r="C274" s="3"/>
      <c r="D274" s="3" t="n">
        <v>31</v>
      </c>
      <c r="E274" s="3" t="s">
        <v>41</v>
      </c>
      <c r="F274" s="3"/>
      <c r="G274" s="3"/>
      <c r="H274" s="4" t="n">
        <v>46143</v>
      </c>
      <c r="I274" s="5" t="n">
        <v>46282</v>
      </c>
      <c r="J274" s="4" t="n">
        <v>46289</v>
      </c>
      <c r="K274" s="4" t="n">
        <v>46289</v>
      </c>
      <c r="L274" s="3"/>
      <c r="M274" s="3"/>
      <c r="N274" s="3"/>
      <c r="O274" s="3" t="s">
        <v>56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 t="n">
        <v>49</v>
      </c>
      <c r="AC274" s="3" t="n">
        <v>0</v>
      </c>
      <c r="AD274" s="6" t="s">
        <v>43</v>
      </c>
      <c r="AE274" s="3" t="s">
        <v>83</v>
      </c>
      <c r="AF274" s="6" t="s">
        <v>43</v>
      </c>
      <c r="AG274" s="6" t="s">
        <v>43</v>
      </c>
      <c r="AH274" s="6" t="s">
        <v>43</v>
      </c>
      <c r="AI274" s="3"/>
      <c r="AJ274" s="3"/>
      <c r="AK274" s="3"/>
      <c r="AL274" s="7" t="n">
        <f aca="false">IF(A274="","",IF(COUNTIF(A274:A$2001,A274)=1,1,0))</f>
        <v>1</v>
      </c>
      <c r="AM274" s="7" t="n">
        <f aca="true">IF(I274="","",TODAY()-I274)</f>
        <v>8</v>
      </c>
      <c r="AN274" s="7" t="n">
        <f aca="false">IF(A274="","",IF(AND(E274&lt;&gt;"33 確認済",E274&lt;&gt;"36 送付中"),1,0))</f>
        <v>1</v>
      </c>
      <c r="AO274" s="7" t="n">
        <f aca="false">IF(A274="","",IF(AG274&lt;&gt;"",1,0))</f>
        <v>1</v>
      </c>
    </row>
    <row r="275" customFormat="false" ht="15" hidden="false" customHeight="false" outlineLevel="0" collapsed="false">
      <c r="A275" s="3" t="n">
        <v>202660001437</v>
      </c>
      <c r="B275" s="3"/>
      <c r="C275" s="3"/>
      <c r="D275" s="3" t="n">
        <v>31</v>
      </c>
      <c r="E275" s="3" t="s">
        <v>41</v>
      </c>
      <c r="F275" s="3"/>
      <c r="G275" s="3"/>
      <c r="H275" s="4" t="n">
        <v>46210</v>
      </c>
      <c r="I275" s="5" t="n">
        <v>46282</v>
      </c>
      <c r="J275" s="4" t="n">
        <v>46289</v>
      </c>
      <c r="K275" s="4" t="n">
        <v>46289</v>
      </c>
      <c r="L275" s="3"/>
      <c r="M275" s="3"/>
      <c r="N275" s="3"/>
      <c r="O275" s="3" t="s">
        <v>56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 t="n">
        <v>28</v>
      </c>
      <c r="AC275" s="3" t="n">
        <v>3</v>
      </c>
      <c r="AD275" s="6" t="s">
        <v>43</v>
      </c>
      <c r="AE275" s="3"/>
      <c r="AF275" s="3"/>
      <c r="AG275" s="3"/>
      <c r="AH275" s="3"/>
      <c r="AI275" s="3"/>
      <c r="AJ275" s="3"/>
      <c r="AK275" s="3"/>
      <c r="AL275" s="7" t="n">
        <f aca="false">IF(A275="","",IF(COUNTIF(A275:A$2001,A275)=1,1,0))</f>
        <v>1</v>
      </c>
      <c r="AM275" s="7" t="n">
        <f aca="true">IF(I275="","",TODAY()-I275)</f>
        <v>8</v>
      </c>
      <c r="AN275" s="7" t="n">
        <f aca="false">IF(A275="","",IF(AND(E275&lt;&gt;"33 確認済",E275&lt;&gt;"36 送付中"),1,0))</f>
        <v>1</v>
      </c>
      <c r="AO275" s="7" t="n">
        <f aca="false">IF(A275="","",IF(AG275&lt;&gt;"",1,0))</f>
        <v>0</v>
      </c>
    </row>
    <row r="276" customFormat="false" ht="15" hidden="false" customHeight="false" outlineLevel="0" collapsed="false">
      <c r="A276" s="3" t="n">
        <v>202660001438</v>
      </c>
      <c r="B276" s="3"/>
      <c r="C276" s="3"/>
      <c r="D276" s="3" t="n">
        <v>31</v>
      </c>
      <c r="E276" s="3" t="s">
        <v>41</v>
      </c>
      <c r="F276" s="3"/>
      <c r="G276" s="3"/>
      <c r="H276" s="4" t="n">
        <v>46023</v>
      </c>
      <c r="I276" s="5" t="n">
        <v>46282</v>
      </c>
      <c r="J276" s="4" t="n">
        <v>46283</v>
      </c>
      <c r="K276" s="4" t="n">
        <v>46283</v>
      </c>
      <c r="L276" s="3"/>
      <c r="M276" s="3"/>
      <c r="N276" s="3"/>
      <c r="O276" s="3" t="s">
        <v>56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 t="n">
        <v>28</v>
      </c>
      <c r="AC276" s="3" t="n">
        <v>3</v>
      </c>
      <c r="AD276" s="6" t="s">
        <v>43</v>
      </c>
      <c r="AE276" s="3"/>
      <c r="AF276" s="3"/>
      <c r="AG276" s="3"/>
      <c r="AH276" s="6" t="s">
        <v>46</v>
      </c>
      <c r="AI276" s="3"/>
      <c r="AJ276" s="3"/>
      <c r="AK276" s="3"/>
      <c r="AL276" s="7" t="n">
        <f aca="false">IF(A276="","",IF(COUNTIF(A276:A$2001,A276)=1,1,0))</f>
        <v>1</v>
      </c>
      <c r="AM276" s="7" t="n">
        <f aca="true">IF(I276="","",TODAY()-I276)</f>
        <v>8</v>
      </c>
      <c r="AN276" s="7" t="n">
        <f aca="false">IF(A276="","",IF(AND(E276&lt;&gt;"33 確認済",E276&lt;&gt;"36 送付中"),1,0))</f>
        <v>1</v>
      </c>
      <c r="AO276" s="7" t="n">
        <f aca="false">IF(A276="","",IF(AG276&lt;&gt;"",1,0))</f>
        <v>0</v>
      </c>
    </row>
    <row r="277" customFormat="false" ht="15" hidden="false" customHeight="false" outlineLevel="0" collapsed="false">
      <c r="A277" s="3" t="n">
        <v>202660001439</v>
      </c>
      <c r="B277" s="3"/>
      <c r="C277" s="3"/>
      <c r="D277" s="3" t="n">
        <v>30</v>
      </c>
      <c r="E277" s="3" t="s">
        <v>93</v>
      </c>
      <c r="F277" s="3"/>
      <c r="G277" s="3"/>
      <c r="H277" s="4" t="n">
        <v>46065</v>
      </c>
      <c r="I277" s="5" t="n">
        <v>46282</v>
      </c>
      <c r="J277" s="4" t="n">
        <v>46283</v>
      </c>
      <c r="K277" s="3"/>
      <c r="L277" s="3"/>
      <c r="M277" s="3"/>
      <c r="N277" s="3"/>
      <c r="O277" s="3" t="s">
        <v>94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 t="n">
        <v>23</v>
      </c>
      <c r="AC277" s="3" t="n">
        <v>1</v>
      </c>
      <c r="AD277" s="6" t="s">
        <v>46</v>
      </c>
      <c r="AE277" s="3" t="s">
        <v>52</v>
      </c>
      <c r="AF277" s="3"/>
      <c r="AG277" s="3"/>
      <c r="AH277" s="3"/>
      <c r="AI277" s="3"/>
      <c r="AJ277" s="3"/>
      <c r="AK277" s="3"/>
      <c r="AL277" s="7" t="n">
        <f aca="false">IF(A277="","",IF(COUNTIF(A277:A$2001,A277)=1,1,0))</f>
        <v>0</v>
      </c>
      <c r="AM277" s="7" t="n">
        <f aca="true">IF(I277="","",TODAY()-I277)</f>
        <v>8</v>
      </c>
      <c r="AN277" s="7" t="n">
        <f aca="false">IF(A277="","",IF(AND(E277&lt;&gt;"33 確認済",E277&lt;&gt;"36 送付中"),1,0))</f>
        <v>1</v>
      </c>
      <c r="AO277" s="7" t="n">
        <f aca="false">IF(A277="","",IF(AG277&lt;&gt;"",1,0))</f>
        <v>0</v>
      </c>
    </row>
    <row r="278" customFormat="false" ht="15" hidden="false" customHeight="false" outlineLevel="0" collapsed="false">
      <c r="A278" s="3" t="n">
        <v>202660001439</v>
      </c>
      <c r="B278" s="3"/>
      <c r="C278" s="3"/>
      <c r="D278" s="3" t="n">
        <v>30</v>
      </c>
      <c r="E278" s="3" t="s">
        <v>93</v>
      </c>
      <c r="F278" s="3"/>
      <c r="G278" s="3"/>
      <c r="H278" s="4" t="n">
        <v>46065</v>
      </c>
      <c r="I278" s="5" t="n">
        <v>46282</v>
      </c>
      <c r="J278" s="4" t="n">
        <v>46283</v>
      </c>
      <c r="K278" s="3"/>
      <c r="L278" s="3"/>
      <c r="M278" s="3"/>
      <c r="N278" s="3"/>
      <c r="O278" s="3" t="s">
        <v>94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 t="n">
        <v>23</v>
      </c>
      <c r="AC278" s="3" t="n">
        <v>1</v>
      </c>
      <c r="AD278" s="6" t="s">
        <v>46</v>
      </c>
      <c r="AE278" s="3" t="s">
        <v>53</v>
      </c>
      <c r="AF278" s="3"/>
      <c r="AG278" s="3"/>
      <c r="AH278" s="3"/>
      <c r="AI278" s="3"/>
      <c r="AJ278" s="3"/>
      <c r="AK278" s="3"/>
      <c r="AL278" s="7" t="n">
        <f aca="false">IF(A278="","",IF(COUNTIF(A278:A$2001,A278)=1,1,0))</f>
        <v>1</v>
      </c>
      <c r="AM278" s="7" t="n">
        <f aca="true">IF(I278="","",TODAY()-I278)</f>
        <v>8</v>
      </c>
      <c r="AN278" s="7" t="n">
        <f aca="false">IF(A278="","",IF(AND(E278&lt;&gt;"33 確認済",E278&lt;&gt;"36 送付中"),1,0))</f>
        <v>1</v>
      </c>
      <c r="AO278" s="7" t="n">
        <f aca="false">IF(A278="","",IF(AG278&lt;&gt;"",1,0))</f>
        <v>0</v>
      </c>
    </row>
    <row r="279" customFormat="false" ht="15" hidden="false" customHeight="false" outlineLevel="0" collapsed="false">
      <c r="A279" s="3" t="n">
        <v>202660001442</v>
      </c>
      <c r="B279" s="3"/>
      <c r="C279" s="3"/>
      <c r="D279" s="3" t="n">
        <v>31</v>
      </c>
      <c r="E279" s="3" t="s">
        <v>41</v>
      </c>
      <c r="F279" s="3"/>
      <c r="G279" s="3"/>
      <c r="H279" s="4" t="n">
        <v>46219</v>
      </c>
      <c r="I279" s="5" t="n">
        <v>46282</v>
      </c>
      <c r="J279" s="4" t="n">
        <v>46283</v>
      </c>
      <c r="K279" s="4" t="n">
        <v>46283</v>
      </c>
      <c r="L279" s="3"/>
      <c r="M279" s="3"/>
      <c r="N279" s="3"/>
      <c r="O279" s="3" t="s">
        <v>56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 t="n">
        <v>24</v>
      </c>
      <c r="AC279" s="3" t="n">
        <v>1</v>
      </c>
      <c r="AD279" s="6" t="s">
        <v>46</v>
      </c>
      <c r="AE279" s="3" t="s">
        <v>91</v>
      </c>
      <c r="AF279" s="6" t="s">
        <v>46</v>
      </c>
      <c r="AG279" s="6" t="s">
        <v>46</v>
      </c>
      <c r="AH279" s="6" t="s">
        <v>46</v>
      </c>
      <c r="AI279" s="3"/>
      <c r="AJ279" s="3"/>
      <c r="AK279" s="3"/>
      <c r="AL279" s="7" t="n">
        <f aca="false">IF(A279="","",IF(COUNTIF(A279:A$2001,A279)=1,1,0))</f>
        <v>1</v>
      </c>
      <c r="AM279" s="7" t="n">
        <f aca="true">IF(I279="","",TODAY()-I279)</f>
        <v>8</v>
      </c>
      <c r="AN279" s="7" t="n">
        <f aca="false">IF(A279="","",IF(AND(E279&lt;&gt;"33 確認済",E279&lt;&gt;"36 送付中"),1,0))</f>
        <v>1</v>
      </c>
      <c r="AO279" s="7" t="n">
        <f aca="false">IF(A279="","",IF(AG279&lt;&gt;"",1,0))</f>
        <v>1</v>
      </c>
    </row>
    <row r="280" customFormat="false" ht="15" hidden="false" customHeight="false" outlineLevel="0" collapsed="false">
      <c r="A280" s="3" t="n">
        <v>202660001444</v>
      </c>
      <c r="B280" s="3"/>
      <c r="C280" s="3"/>
      <c r="D280" s="3" t="n">
        <v>20</v>
      </c>
      <c r="E280" s="3" t="s">
        <v>69</v>
      </c>
      <c r="F280" s="3"/>
      <c r="G280" s="3"/>
      <c r="H280" s="4" t="n">
        <v>46277</v>
      </c>
      <c r="I280" s="5" t="n">
        <v>46282</v>
      </c>
      <c r="J280" s="3"/>
      <c r="K280" s="3"/>
      <c r="L280" s="3"/>
      <c r="M280" s="3"/>
      <c r="N280" s="3"/>
      <c r="O280" s="3" t="s">
        <v>81</v>
      </c>
      <c r="P280" s="6" t="s">
        <v>60</v>
      </c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 t="n">
        <v>25</v>
      </c>
      <c r="AC280" s="3" t="n">
        <v>1</v>
      </c>
      <c r="AD280" s="6" t="s">
        <v>46</v>
      </c>
      <c r="AE280" s="3" t="s">
        <v>54</v>
      </c>
      <c r="AF280" s="3"/>
      <c r="AG280" s="3"/>
      <c r="AH280" s="6" t="s">
        <v>46</v>
      </c>
      <c r="AI280" s="3"/>
      <c r="AJ280" s="3"/>
      <c r="AK280" s="3"/>
      <c r="AL280" s="7" t="n">
        <f aca="false">IF(A280="","",IF(COUNTIF(A280:A$2001,A280)=1,1,0))</f>
        <v>1</v>
      </c>
      <c r="AM280" s="7" t="n">
        <f aca="true">IF(I280="","",TODAY()-I280)</f>
        <v>8</v>
      </c>
      <c r="AN280" s="7" t="n">
        <f aca="false">IF(A280="","",IF(AND(E280&lt;&gt;"33 確認済",E280&lt;&gt;"36 送付中"),1,0))</f>
        <v>1</v>
      </c>
      <c r="AO280" s="7" t="n">
        <f aca="false">IF(A280="","",IF(AG280&lt;&gt;"",1,0))</f>
        <v>0</v>
      </c>
    </row>
    <row r="281" customFormat="false" ht="15" hidden="false" customHeight="false" outlineLevel="0" collapsed="false">
      <c r="A281" s="3" t="n">
        <v>202660001445</v>
      </c>
      <c r="B281" s="3"/>
      <c r="C281" s="3"/>
      <c r="D281" s="3" t="n">
        <v>30</v>
      </c>
      <c r="E281" s="3" t="s">
        <v>93</v>
      </c>
      <c r="F281" s="3"/>
      <c r="G281" s="3"/>
      <c r="H281" s="4" t="n">
        <v>46282</v>
      </c>
      <c r="I281" s="5" t="n">
        <v>46282</v>
      </c>
      <c r="J281" s="4" t="n">
        <v>46289</v>
      </c>
      <c r="K281" s="3"/>
      <c r="L281" s="3"/>
      <c r="M281" s="3"/>
      <c r="N281" s="3"/>
      <c r="O281" s="3" t="s">
        <v>94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 t="n">
        <v>51</v>
      </c>
      <c r="AC281" s="3" t="n">
        <v>0</v>
      </c>
      <c r="AD281" s="6" t="s">
        <v>43</v>
      </c>
      <c r="AE281" s="3" t="s">
        <v>72</v>
      </c>
      <c r="AF281" s="3"/>
      <c r="AG281" s="3"/>
      <c r="AH281" s="6" t="s">
        <v>43</v>
      </c>
      <c r="AI281" s="3"/>
      <c r="AJ281" s="3"/>
      <c r="AK281" s="3"/>
      <c r="AL281" s="7" t="n">
        <f aca="false">IF(A281="","",IF(COUNTIF(A281:A$2001,A281)=1,1,0))</f>
        <v>1</v>
      </c>
      <c r="AM281" s="7" t="n">
        <f aca="true">IF(I281="","",TODAY()-I281)</f>
        <v>8</v>
      </c>
      <c r="AN281" s="7" t="n">
        <f aca="false">IF(A281="","",IF(AND(E281&lt;&gt;"33 確認済",E281&lt;&gt;"36 送付中"),1,0))</f>
        <v>1</v>
      </c>
      <c r="AO281" s="7" t="n">
        <f aca="false">IF(A281="","",IF(AG281&lt;&gt;"",1,0))</f>
        <v>0</v>
      </c>
    </row>
    <row r="282" customFormat="false" ht="15" hidden="false" customHeight="false" outlineLevel="0" collapsed="false">
      <c r="A282" s="3" t="n">
        <v>202660001446</v>
      </c>
      <c r="B282" s="3"/>
      <c r="C282" s="3"/>
      <c r="D282" s="3" t="n">
        <v>20</v>
      </c>
      <c r="E282" s="3" t="s">
        <v>69</v>
      </c>
      <c r="F282" s="3"/>
      <c r="G282" s="3"/>
      <c r="H282" s="4" t="n">
        <v>46189</v>
      </c>
      <c r="I282" s="5" t="n">
        <v>46283</v>
      </c>
      <c r="J282" s="3"/>
      <c r="K282" s="3"/>
      <c r="L282" s="3"/>
      <c r="M282" s="3"/>
      <c r="N282" s="3"/>
      <c r="O282" s="3" t="s">
        <v>81</v>
      </c>
      <c r="P282" s="6" t="s">
        <v>60</v>
      </c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 t="n">
        <v>21</v>
      </c>
      <c r="AC282" s="3" t="n">
        <v>1</v>
      </c>
      <c r="AD282" s="6" t="s">
        <v>46</v>
      </c>
      <c r="AE282" s="3" t="s">
        <v>55</v>
      </c>
      <c r="AF282" s="6" t="s">
        <v>46</v>
      </c>
      <c r="AG282" s="6" t="s">
        <v>46</v>
      </c>
      <c r="AH282" s="6" t="s">
        <v>46</v>
      </c>
      <c r="AI282" s="3"/>
      <c r="AJ282" s="3"/>
      <c r="AK282" s="3"/>
      <c r="AL282" s="7" t="n">
        <f aca="false">IF(A282="","",IF(COUNTIF(A282:A$2001,A282)=1,1,0))</f>
        <v>1</v>
      </c>
      <c r="AM282" s="7" t="n">
        <f aca="true">IF(I282="","",TODAY()-I282)</f>
        <v>7</v>
      </c>
      <c r="AN282" s="7" t="n">
        <f aca="false">IF(A282="","",IF(AND(E282&lt;&gt;"33 確認済",E282&lt;&gt;"36 送付中"),1,0))</f>
        <v>1</v>
      </c>
      <c r="AO282" s="7" t="n">
        <f aca="false">IF(A282="","",IF(AG282&lt;&gt;"",1,0))</f>
        <v>1</v>
      </c>
    </row>
    <row r="283" customFormat="false" ht="15" hidden="false" customHeight="false" outlineLevel="0" collapsed="false">
      <c r="A283" s="3" t="n">
        <v>202660001447</v>
      </c>
      <c r="B283" s="3"/>
      <c r="C283" s="3"/>
      <c r="D283" s="3" t="n">
        <v>30</v>
      </c>
      <c r="E283" s="3" t="s">
        <v>93</v>
      </c>
      <c r="F283" s="3"/>
      <c r="G283" s="3"/>
      <c r="H283" s="4" t="n">
        <v>46113</v>
      </c>
      <c r="I283" s="5" t="n">
        <v>46282</v>
      </c>
      <c r="J283" s="4" t="n">
        <v>46289</v>
      </c>
      <c r="K283" s="3"/>
      <c r="L283" s="3"/>
      <c r="M283" s="3"/>
      <c r="N283" s="3"/>
      <c r="O283" s="3" t="s">
        <v>94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 t="n">
        <v>51</v>
      </c>
      <c r="AC283" s="3" t="n">
        <v>0</v>
      </c>
      <c r="AD283" s="6" t="s">
        <v>43</v>
      </c>
      <c r="AE283" s="3" t="s">
        <v>72</v>
      </c>
      <c r="AF283" s="3"/>
      <c r="AG283" s="3"/>
      <c r="AH283" s="6" t="s">
        <v>43</v>
      </c>
      <c r="AI283" s="3"/>
      <c r="AJ283" s="3"/>
      <c r="AK283" s="3"/>
      <c r="AL283" s="7" t="n">
        <f aca="false">IF(A283="","",IF(COUNTIF(A283:A$2001,A283)=1,1,0))</f>
        <v>1</v>
      </c>
      <c r="AM283" s="7" t="n">
        <f aca="true">IF(I283="","",TODAY()-I283)</f>
        <v>8</v>
      </c>
      <c r="AN283" s="7" t="n">
        <f aca="false">IF(A283="","",IF(AND(E283&lt;&gt;"33 確認済",E283&lt;&gt;"36 送付中"),1,0))</f>
        <v>1</v>
      </c>
      <c r="AO283" s="7" t="n">
        <f aca="false">IF(A283="","",IF(AG283&lt;&gt;"",1,0))</f>
        <v>0</v>
      </c>
    </row>
    <row r="284" customFormat="false" ht="15" hidden="false" customHeight="false" outlineLevel="0" collapsed="false">
      <c r="A284" s="3" t="n">
        <v>202660001448</v>
      </c>
      <c r="B284" s="3"/>
      <c r="C284" s="3"/>
      <c r="D284" s="3" t="n">
        <v>20</v>
      </c>
      <c r="E284" s="3" t="s">
        <v>69</v>
      </c>
      <c r="F284" s="3"/>
      <c r="G284" s="3"/>
      <c r="H284" s="4" t="n">
        <v>46282</v>
      </c>
      <c r="I284" s="5" t="n">
        <v>46282</v>
      </c>
      <c r="J284" s="3"/>
      <c r="K284" s="3"/>
      <c r="L284" s="3"/>
      <c r="M284" s="3"/>
      <c r="N284" s="3"/>
      <c r="O284" s="3" t="s">
        <v>67</v>
      </c>
      <c r="P284" s="6" t="s">
        <v>60</v>
      </c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 t="n">
        <v>99</v>
      </c>
      <c r="AC284" s="3" t="n">
        <v>1</v>
      </c>
      <c r="AD284" s="6" t="s">
        <v>46</v>
      </c>
      <c r="AE284" s="3" t="s">
        <v>61</v>
      </c>
      <c r="AF284" s="3"/>
      <c r="AG284" s="3"/>
      <c r="AH284" s="6" t="s">
        <v>46</v>
      </c>
      <c r="AI284" s="3"/>
      <c r="AJ284" s="3"/>
      <c r="AK284" s="3"/>
      <c r="AL284" s="7" t="n">
        <f aca="false">IF(A284="","",IF(COUNTIF(A284:A$2001,A284)=1,1,0))</f>
        <v>1</v>
      </c>
      <c r="AM284" s="7" t="n">
        <f aca="true">IF(I284="","",TODAY()-I284)</f>
        <v>8</v>
      </c>
      <c r="AN284" s="7" t="n">
        <f aca="false">IF(A284="","",IF(AND(E284&lt;&gt;"33 確認済",E284&lt;&gt;"36 送付中"),1,0))</f>
        <v>1</v>
      </c>
      <c r="AO284" s="7" t="n">
        <f aca="false">IF(A284="","",IF(AG284&lt;&gt;"",1,0))</f>
        <v>0</v>
      </c>
    </row>
    <row r="285" customFormat="false" ht="15" hidden="false" customHeight="false" outlineLevel="0" collapsed="false">
      <c r="A285" s="3" t="n">
        <v>202660001449</v>
      </c>
      <c r="B285" s="3"/>
      <c r="C285" s="3"/>
      <c r="D285" s="3" t="n">
        <v>30</v>
      </c>
      <c r="E285" s="3" t="s">
        <v>93</v>
      </c>
      <c r="F285" s="3"/>
      <c r="G285" s="3"/>
      <c r="H285" s="4" t="n">
        <v>46113</v>
      </c>
      <c r="I285" s="5" t="n">
        <v>46282</v>
      </c>
      <c r="J285" s="4" t="n">
        <v>46289</v>
      </c>
      <c r="K285" s="3"/>
      <c r="L285" s="3"/>
      <c r="M285" s="3"/>
      <c r="N285" s="3"/>
      <c r="O285" s="3" t="s">
        <v>94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 t="n">
        <v>47</v>
      </c>
      <c r="AC285" s="3" t="n">
        <v>0</v>
      </c>
      <c r="AD285" s="6" t="s">
        <v>43</v>
      </c>
      <c r="AE285" s="3" t="s">
        <v>44</v>
      </c>
      <c r="AF285" s="3"/>
      <c r="AG285" s="3"/>
      <c r="AH285" s="6" t="s">
        <v>43</v>
      </c>
      <c r="AI285" s="3"/>
      <c r="AJ285" s="3"/>
      <c r="AK285" s="3"/>
      <c r="AL285" s="7" t="n">
        <f aca="false">IF(A285="","",IF(COUNTIF(A285:A$2001,A285)=1,1,0))</f>
        <v>1</v>
      </c>
      <c r="AM285" s="7" t="n">
        <f aca="true">IF(I285="","",TODAY()-I285)</f>
        <v>8</v>
      </c>
      <c r="AN285" s="7" t="n">
        <f aca="false">IF(A285="","",IF(AND(E285&lt;&gt;"33 確認済",E285&lt;&gt;"36 送付中"),1,0))</f>
        <v>1</v>
      </c>
      <c r="AO285" s="7" t="n">
        <f aca="false">IF(A285="","",IF(AG285&lt;&gt;"",1,0))</f>
        <v>0</v>
      </c>
    </row>
    <row r="286" customFormat="false" ht="15" hidden="false" customHeight="false" outlineLevel="0" collapsed="false">
      <c r="A286" s="3" t="n">
        <v>202660001450</v>
      </c>
      <c r="B286" s="3"/>
      <c r="C286" s="3"/>
      <c r="D286" s="3" t="n">
        <v>30</v>
      </c>
      <c r="E286" s="3" t="s">
        <v>93</v>
      </c>
      <c r="F286" s="3"/>
      <c r="G286" s="3"/>
      <c r="H286" s="4" t="n">
        <v>46152</v>
      </c>
      <c r="I286" s="5" t="n">
        <v>46282</v>
      </c>
      <c r="J286" s="4" t="n">
        <v>46283</v>
      </c>
      <c r="K286" s="3"/>
      <c r="L286" s="3"/>
      <c r="M286" s="3"/>
      <c r="N286" s="3"/>
      <c r="O286" s="3" t="s">
        <v>94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 t="n">
        <v>23</v>
      </c>
      <c r="AC286" s="3" t="n">
        <v>1</v>
      </c>
      <c r="AD286" s="6" t="s">
        <v>46</v>
      </c>
      <c r="AE286" s="3" t="s">
        <v>52</v>
      </c>
      <c r="AF286" s="3"/>
      <c r="AG286" s="3"/>
      <c r="AH286" s="3"/>
      <c r="AI286" s="3"/>
      <c r="AJ286" s="3"/>
      <c r="AK286" s="3"/>
      <c r="AL286" s="7" t="n">
        <f aca="false">IF(A286="","",IF(COUNTIF(A286:A$2001,A286)=1,1,0))</f>
        <v>0</v>
      </c>
      <c r="AM286" s="7" t="n">
        <f aca="true">IF(I286="","",TODAY()-I286)</f>
        <v>8</v>
      </c>
      <c r="AN286" s="7" t="n">
        <f aca="false">IF(A286="","",IF(AND(E286&lt;&gt;"33 確認済",E286&lt;&gt;"36 送付中"),1,0))</f>
        <v>1</v>
      </c>
      <c r="AO286" s="7" t="n">
        <f aca="false">IF(A286="","",IF(AG286&lt;&gt;"",1,0))</f>
        <v>0</v>
      </c>
    </row>
    <row r="287" customFormat="false" ht="15" hidden="false" customHeight="false" outlineLevel="0" collapsed="false">
      <c r="A287" s="3" t="n">
        <v>202660001450</v>
      </c>
      <c r="B287" s="3"/>
      <c r="C287" s="3"/>
      <c r="D287" s="3" t="n">
        <v>30</v>
      </c>
      <c r="E287" s="3" t="s">
        <v>93</v>
      </c>
      <c r="F287" s="3"/>
      <c r="G287" s="3"/>
      <c r="H287" s="4" t="n">
        <v>46152</v>
      </c>
      <c r="I287" s="5" t="n">
        <v>46282</v>
      </c>
      <c r="J287" s="4" t="n">
        <v>46283</v>
      </c>
      <c r="K287" s="3"/>
      <c r="L287" s="3"/>
      <c r="M287" s="3"/>
      <c r="N287" s="3"/>
      <c r="O287" s="3" t="s">
        <v>94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 t="n">
        <v>23</v>
      </c>
      <c r="AC287" s="3" t="n">
        <v>1</v>
      </c>
      <c r="AD287" s="6" t="s">
        <v>46</v>
      </c>
      <c r="AE287" s="3" t="s">
        <v>53</v>
      </c>
      <c r="AF287" s="3"/>
      <c r="AG287" s="3"/>
      <c r="AH287" s="3"/>
      <c r="AI287" s="3"/>
      <c r="AJ287" s="3"/>
      <c r="AK287" s="3"/>
      <c r="AL287" s="7" t="n">
        <f aca="false">IF(A287="","",IF(COUNTIF(A287:A$2001,A287)=1,1,0))</f>
        <v>1</v>
      </c>
      <c r="AM287" s="7" t="n">
        <f aca="true">IF(I287="","",TODAY()-I287)</f>
        <v>8</v>
      </c>
      <c r="AN287" s="7" t="n">
        <f aca="false">IF(A287="","",IF(AND(E287&lt;&gt;"33 確認済",E287&lt;&gt;"36 送付中"),1,0))</f>
        <v>1</v>
      </c>
      <c r="AO287" s="7" t="n">
        <f aca="false">IF(A287="","",IF(AG287&lt;&gt;"",1,0))</f>
        <v>0</v>
      </c>
    </row>
    <row r="288" customFormat="false" ht="15" hidden="false" customHeight="false" outlineLevel="0" collapsed="false">
      <c r="A288" s="3" t="n">
        <v>202660001451</v>
      </c>
      <c r="B288" s="3"/>
      <c r="C288" s="3"/>
      <c r="D288" s="3" t="n">
        <v>31</v>
      </c>
      <c r="E288" s="3" t="s">
        <v>41</v>
      </c>
      <c r="F288" s="3"/>
      <c r="G288" s="3"/>
      <c r="H288" s="4" t="n">
        <v>46276</v>
      </c>
      <c r="I288" s="5" t="n">
        <v>46282</v>
      </c>
      <c r="J288" s="4" t="n">
        <v>46289</v>
      </c>
      <c r="K288" s="4" t="n">
        <v>46289</v>
      </c>
      <c r="L288" s="3"/>
      <c r="M288" s="3"/>
      <c r="N288" s="3"/>
      <c r="O288" s="3" t="s">
        <v>42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 t="n">
        <v>21</v>
      </c>
      <c r="AC288" s="3" t="n">
        <v>1</v>
      </c>
      <c r="AD288" s="6" t="s">
        <v>46</v>
      </c>
      <c r="AE288" s="3" t="s">
        <v>55</v>
      </c>
      <c r="AF288" s="6" t="s">
        <v>46</v>
      </c>
      <c r="AG288" s="6" t="s">
        <v>46</v>
      </c>
      <c r="AH288" s="6" t="s">
        <v>46</v>
      </c>
      <c r="AI288" s="3"/>
      <c r="AJ288" s="3"/>
      <c r="AK288" s="3"/>
      <c r="AL288" s="7" t="n">
        <f aca="false">IF(A288="","",IF(COUNTIF(A288:A$2001,A288)=1,1,0))</f>
        <v>1</v>
      </c>
      <c r="AM288" s="7" t="n">
        <f aca="true">IF(I288="","",TODAY()-I288)</f>
        <v>8</v>
      </c>
      <c r="AN288" s="7" t="n">
        <f aca="false">IF(A288="","",IF(AND(E288&lt;&gt;"33 確認済",E288&lt;&gt;"36 送付中"),1,0))</f>
        <v>1</v>
      </c>
      <c r="AO288" s="7" t="n">
        <f aca="false">IF(A288="","",IF(AG288&lt;&gt;"",1,0))</f>
        <v>1</v>
      </c>
    </row>
    <row r="289" customFormat="false" ht="15" hidden="false" customHeight="false" outlineLevel="0" collapsed="false">
      <c r="A289" s="3" t="n">
        <v>202660001452</v>
      </c>
      <c r="B289" s="3"/>
      <c r="C289" s="3"/>
      <c r="D289" s="3" t="n">
        <v>30</v>
      </c>
      <c r="E289" s="3" t="s">
        <v>93</v>
      </c>
      <c r="F289" s="3"/>
      <c r="G289" s="3"/>
      <c r="H289" s="4" t="n">
        <v>46143</v>
      </c>
      <c r="I289" s="5" t="n">
        <v>46282</v>
      </c>
      <c r="J289" s="4" t="n">
        <v>46289</v>
      </c>
      <c r="K289" s="3"/>
      <c r="L289" s="3"/>
      <c r="M289" s="3"/>
      <c r="N289" s="3"/>
      <c r="O289" s="3" t="s">
        <v>94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 t="n">
        <v>51</v>
      </c>
      <c r="AC289" s="3" t="n">
        <v>0</v>
      </c>
      <c r="AD289" s="6" t="s">
        <v>43</v>
      </c>
      <c r="AE289" s="3" t="s">
        <v>72</v>
      </c>
      <c r="AF289" s="3"/>
      <c r="AG289" s="3"/>
      <c r="AH289" s="6" t="s">
        <v>43</v>
      </c>
      <c r="AI289" s="3"/>
      <c r="AJ289" s="3"/>
      <c r="AK289" s="3"/>
      <c r="AL289" s="7" t="n">
        <f aca="false">IF(A289="","",IF(COUNTIF(A289:A$2001,A289)=1,1,0))</f>
        <v>1</v>
      </c>
      <c r="AM289" s="7" t="n">
        <f aca="true">IF(I289="","",TODAY()-I289)</f>
        <v>8</v>
      </c>
      <c r="AN289" s="7" t="n">
        <f aca="false">IF(A289="","",IF(AND(E289&lt;&gt;"33 確認済",E289&lt;&gt;"36 送付中"),1,0))</f>
        <v>1</v>
      </c>
      <c r="AO289" s="7" t="n">
        <f aca="false">IF(A289="","",IF(AG289&lt;&gt;"",1,0))</f>
        <v>0</v>
      </c>
    </row>
    <row r="290" customFormat="false" ht="15" hidden="false" customHeight="false" outlineLevel="0" collapsed="false">
      <c r="A290" s="3" t="n">
        <v>202660001453</v>
      </c>
      <c r="B290" s="3"/>
      <c r="C290" s="3"/>
      <c r="D290" s="3" t="n">
        <v>30</v>
      </c>
      <c r="E290" s="3" t="s">
        <v>93</v>
      </c>
      <c r="F290" s="3"/>
      <c r="G290" s="3"/>
      <c r="H290" s="4" t="n">
        <v>46222</v>
      </c>
      <c r="I290" s="5" t="n">
        <v>46282</v>
      </c>
      <c r="J290" s="4" t="n">
        <v>46283</v>
      </c>
      <c r="K290" s="3"/>
      <c r="L290" s="3"/>
      <c r="M290" s="3"/>
      <c r="N290" s="3"/>
      <c r="O290" s="3" t="s">
        <v>94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 t="n">
        <v>23</v>
      </c>
      <c r="AC290" s="3" t="n">
        <v>1</v>
      </c>
      <c r="AD290" s="6" t="s">
        <v>46</v>
      </c>
      <c r="AE290" s="3" t="s">
        <v>52</v>
      </c>
      <c r="AF290" s="3"/>
      <c r="AG290" s="3"/>
      <c r="AH290" s="3"/>
      <c r="AI290" s="3"/>
      <c r="AJ290" s="3"/>
      <c r="AK290" s="3"/>
      <c r="AL290" s="7" t="n">
        <f aca="false">IF(A290="","",IF(COUNTIF(A290:A$2001,A290)=1,1,0))</f>
        <v>0</v>
      </c>
      <c r="AM290" s="7" t="n">
        <f aca="true">IF(I290="","",TODAY()-I290)</f>
        <v>8</v>
      </c>
      <c r="AN290" s="7" t="n">
        <f aca="false">IF(A290="","",IF(AND(E290&lt;&gt;"33 確認済",E290&lt;&gt;"36 送付中"),1,0))</f>
        <v>1</v>
      </c>
      <c r="AO290" s="7" t="n">
        <f aca="false">IF(A290="","",IF(AG290&lt;&gt;"",1,0))</f>
        <v>0</v>
      </c>
    </row>
    <row r="291" customFormat="false" ht="15" hidden="false" customHeight="false" outlineLevel="0" collapsed="false">
      <c r="A291" s="3" t="n">
        <v>202660001453</v>
      </c>
      <c r="B291" s="3"/>
      <c r="C291" s="3"/>
      <c r="D291" s="3" t="n">
        <v>30</v>
      </c>
      <c r="E291" s="3" t="s">
        <v>93</v>
      </c>
      <c r="F291" s="3"/>
      <c r="G291" s="3"/>
      <c r="H291" s="4" t="n">
        <v>46222</v>
      </c>
      <c r="I291" s="5" t="n">
        <v>46282</v>
      </c>
      <c r="J291" s="4" t="n">
        <v>46283</v>
      </c>
      <c r="K291" s="3"/>
      <c r="L291" s="3"/>
      <c r="M291" s="3"/>
      <c r="N291" s="3"/>
      <c r="O291" s="3" t="s">
        <v>94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 t="n">
        <v>23</v>
      </c>
      <c r="AC291" s="3" t="n">
        <v>1</v>
      </c>
      <c r="AD291" s="6" t="s">
        <v>46</v>
      </c>
      <c r="AE291" s="3" t="s">
        <v>53</v>
      </c>
      <c r="AF291" s="3"/>
      <c r="AG291" s="3"/>
      <c r="AH291" s="3"/>
      <c r="AI291" s="3"/>
      <c r="AJ291" s="3"/>
      <c r="AK291" s="3"/>
      <c r="AL291" s="7" t="n">
        <f aca="false">IF(A291="","",IF(COUNTIF(A291:A$2001,A291)=1,1,0))</f>
        <v>1</v>
      </c>
      <c r="AM291" s="7" t="n">
        <f aca="true">IF(I291="","",TODAY()-I291)</f>
        <v>8</v>
      </c>
      <c r="AN291" s="7" t="n">
        <f aca="false">IF(A291="","",IF(AND(E291&lt;&gt;"33 確認済",E291&lt;&gt;"36 送付中"),1,0))</f>
        <v>1</v>
      </c>
      <c r="AO291" s="7" t="n">
        <f aca="false">IF(A291="","",IF(AG291&lt;&gt;"",1,0))</f>
        <v>0</v>
      </c>
    </row>
    <row r="292" customFormat="false" ht="15" hidden="false" customHeight="false" outlineLevel="0" collapsed="false">
      <c r="A292" s="3" t="n">
        <v>202660001455</v>
      </c>
      <c r="B292" s="3"/>
      <c r="C292" s="3"/>
      <c r="D292" s="3" t="n">
        <v>20</v>
      </c>
      <c r="E292" s="3" t="s">
        <v>69</v>
      </c>
      <c r="F292" s="3"/>
      <c r="G292" s="3"/>
      <c r="H292" s="4" t="n">
        <v>46289</v>
      </c>
      <c r="I292" s="5" t="n">
        <v>46289</v>
      </c>
      <c r="J292" s="3"/>
      <c r="K292" s="3"/>
      <c r="L292" s="3"/>
      <c r="M292" s="3"/>
      <c r="N292" s="3"/>
      <c r="O292" s="3" t="s">
        <v>81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 t="n">
        <v>51</v>
      </c>
      <c r="AC292" s="3" t="n">
        <v>0</v>
      </c>
      <c r="AD292" s="6" t="s">
        <v>43</v>
      </c>
      <c r="AE292" s="3" t="s">
        <v>72</v>
      </c>
      <c r="AF292" s="3"/>
      <c r="AG292" s="3"/>
      <c r="AH292" s="6" t="s">
        <v>43</v>
      </c>
      <c r="AI292" s="3"/>
      <c r="AJ292" s="3"/>
      <c r="AK292" s="3"/>
      <c r="AL292" s="7" t="n">
        <f aca="false">IF(A292="","",IF(COUNTIF(A292:A$2001,A292)=1,1,0))</f>
        <v>1</v>
      </c>
      <c r="AM292" s="7" t="n">
        <f aca="true">IF(I292="","",TODAY()-I292)</f>
        <v>1</v>
      </c>
      <c r="AN292" s="7" t="n">
        <f aca="false">IF(A292="","",IF(AND(E292&lt;&gt;"33 確認済",E292&lt;&gt;"36 送付中"),1,0))</f>
        <v>1</v>
      </c>
      <c r="AO292" s="7" t="n">
        <f aca="false">IF(A292="","",IF(AG292&lt;&gt;"",1,0))</f>
        <v>0</v>
      </c>
    </row>
    <row r="293" customFormat="false" ht="15" hidden="false" customHeight="false" outlineLevel="0" collapsed="false">
      <c r="A293" s="3" t="n">
        <v>202660001456</v>
      </c>
      <c r="B293" s="3"/>
      <c r="C293" s="3"/>
      <c r="D293" s="3" t="n">
        <v>31</v>
      </c>
      <c r="E293" s="3" t="s">
        <v>41</v>
      </c>
      <c r="F293" s="3"/>
      <c r="G293" s="3"/>
      <c r="H293" s="4" t="n">
        <v>46112</v>
      </c>
      <c r="I293" s="5" t="n">
        <v>46282</v>
      </c>
      <c r="J293" s="4" t="n">
        <v>46289</v>
      </c>
      <c r="K293" s="4" t="n">
        <v>46289</v>
      </c>
      <c r="L293" s="3"/>
      <c r="M293" s="3"/>
      <c r="N293" s="3"/>
      <c r="O293" s="3" t="s">
        <v>56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 t="n">
        <v>28</v>
      </c>
      <c r="AC293" s="3" t="n">
        <v>3</v>
      </c>
      <c r="AD293" s="6" t="s">
        <v>43</v>
      </c>
      <c r="AE293" s="3"/>
      <c r="AF293" s="3"/>
      <c r="AG293" s="3"/>
      <c r="AH293" s="3"/>
      <c r="AI293" s="3"/>
      <c r="AJ293" s="3"/>
      <c r="AK293" s="3"/>
      <c r="AL293" s="7" t="n">
        <f aca="false">IF(A293="","",IF(COUNTIF(A293:A$2001,A293)=1,1,0))</f>
        <v>1</v>
      </c>
      <c r="AM293" s="7" t="n">
        <f aca="true">IF(I293="","",TODAY()-I293)</f>
        <v>8</v>
      </c>
      <c r="AN293" s="7" t="n">
        <f aca="false">IF(A293="","",IF(AND(E293&lt;&gt;"33 確認済",E293&lt;&gt;"36 送付中"),1,0))</f>
        <v>1</v>
      </c>
      <c r="AO293" s="7" t="n">
        <f aca="false">IF(A293="","",IF(AG293&lt;&gt;"",1,0))</f>
        <v>0</v>
      </c>
    </row>
    <row r="294" customFormat="false" ht="15" hidden="false" customHeight="false" outlineLevel="0" collapsed="false">
      <c r="A294" s="3" t="n">
        <v>202660001457</v>
      </c>
      <c r="B294" s="3"/>
      <c r="C294" s="3"/>
      <c r="D294" s="3" t="n">
        <v>30</v>
      </c>
      <c r="E294" s="3" t="s">
        <v>93</v>
      </c>
      <c r="F294" s="3"/>
      <c r="G294" s="3"/>
      <c r="H294" s="4" t="n">
        <v>46275</v>
      </c>
      <c r="I294" s="5" t="n">
        <v>46282</v>
      </c>
      <c r="J294" s="4" t="n">
        <v>46283</v>
      </c>
      <c r="K294" s="3"/>
      <c r="L294" s="3"/>
      <c r="M294" s="3"/>
      <c r="N294" s="3"/>
      <c r="O294" s="3" t="s">
        <v>94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 t="n">
        <v>23</v>
      </c>
      <c r="AC294" s="3" t="n">
        <v>1</v>
      </c>
      <c r="AD294" s="6" t="s">
        <v>46</v>
      </c>
      <c r="AE294" s="3" t="s">
        <v>52</v>
      </c>
      <c r="AF294" s="3"/>
      <c r="AG294" s="3"/>
      <c r="AH294" s="3"/>
      <c r="AI294" s="3"/>
      <c r="AJ294" s="3"/>
      <c r="AK294" s="3"/>
      <c r="AL294" s="7" t="n">
        <f aca="false">IF(A294="","",IF(COUNTIF(A294:A$2001,A294)=1,1,0))</f>
        <v>0</v>
      </c>
      <c r="AM294" s="7" t="n">
        <f aca="true">IF(I294="","",TODAY()-I294)</f>
        <v>8</v>
      </c>
      <c r="AN294" s="7" t="n">
        <f aca="false">IF(A294="","",IF(AND(E294&lt;&gt;"33 確認済",E294&lt;&gt;"36 送付中"),1,0))</f>
        <v>1</v>
      </c>
      <c r="AO294" s="7" t="n">
        <f aca="false">IF(A294="","",IF(AG294&lt;&gt;"",1,0))</f>
        <v>0</v>
      </c>
    </row>
    <row r="295" customFormat="false" ht="15" hidden="false" customHeight="false" outlineLevel="0" collapsed="false">
      <c r="A295" s="3" t="n">
        <v>202660001457</v>
      </c>
      <c r="B295" s="3"/>
      <c r="C295" s="3"/>
      <c r="D295" s="3" t="n">
        <v>30</v>
      </c>
      <c r="E295" s="3" t="s">
        <v>93</v>
      </c>
      <c r="F295" s="3"/>
      <c r="G295" s="3"/>
      <c r="H295" s="4" t="n">
        <v>46275</v>
      </c>
      <c r="I295" s="5" t="n">
        <v>46282</v>
      </c>
      <c r="J295" s="4" t="n">
        <v>46283</v>
      </c>
      <c r="K295" s="3"/>
      <c r="L295" s="3"/>
      <c r="M295" s="3"/>
      <c r="N295" s="3"/>
      <c r="O295" s="3" t="s">
        <v>94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 t="n">
        <v>23</v>
      </c>
      <c r="AC295" s="3" t="n">
        <v>1</v>
      </c>
      <c r="AD295" s="6" t="s">
        <v>46</v>
      </c>
      <c r="AE295" s="3" t="s">
        <v>53</v>
      </c>
      <c r="AF295" s="3"/>
      <c r="AG295" s="3"/>
      <c r="AH295" s="3"/>
      <c r="AI295" s="3"/>
      <c r="AJ295" s="3"/>
      <c r="AK295" s="3"/>
      <c r="AL295" s="7" t="n">
        <f aca="false">IF(A295="","",IF(COUNTIF(A295:A$2001,A295)=1,1,0))</f>
        <v>1</v>
      </c>
      <c r="AM295" s="7" t="n">
        <f aca="true">IF(I295="","",TODAY()-I295)</f>
        <v>8</v>
      </c>
      <c r="AN295" s="7" t="n">
        <f aca="false">IF(A295="","",IF(AND(E295&lt;&gt;"33 確認済",E295&lt;&gt;"36 送付中"),1,0))</f>
        <v>1</v>
      </c>
      <c r="AO295" s="7" t="n">
        <f aca="false">IF(A295="","",IF(AG295&lt;&gt;"",1,0))</f>
        <v>0</v>
      </c>
    </row>
    <row r="296" customFormat="false" ht="15" hidden="false" customHeight="false" outlineLevel="0" collapsed="false">
      <c r="A296" s="3" t="n">
        <v>202660001459</v>
      </c>
      <c r="B296" s="3"/>
      <c r="C296" s="3"/>
      <c r="D296" s="3" t="n">
        <v>20</v>
      </c>
      <c r="E296" s="3" t="s">
        <v>69</v>
      </c>
      <c r="F296" s="3"/>
      <c r="G296" s="3"/>
      <c r="H296" s="4" t="n">
        <v>46266</v>
      </c>
      <c r="I296" s="5" t="n">
        <v>46283</v>
      </c>
      <c r="J296" s="3"/>
      <c r="K296" s="3"/>
      <c r="L296" s="3"/>
      <c r="M296" s="3"/>
      <c r="N296" s="3"/>
      <c r="O296" s="3" t="s">
        <v>81</v>
      </c>
      <c r="P296" s="6" t="s">
        <v>60</v>
      </c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 t="n">
        <v>22</v>
      </c>
      <c r="AC296" s="3" t="n">
        <v>1</v>
      </c>
      <c r="AD296" s="6" t="s">
        <v>46</v>
      </c>
      <c r="AE296" s="3" t="s">
        <v>47</v>
      </c>
      <c r="AF296" s="3"/>
      <c r="AG296" s="6" t="s">
        <v>46</v>
      </c>
      <c r="AH296" s="3"/>
      <c r="AI296" s="3"/>
      <c r="AJ296" s="3"/>
      <c r="AK296" s="3"/>
      <c r="AL296" s="7" t="n">
        <f aca="false">IF(A296="","",IF(COUNTIF(A296:A$2001,A296)=1,1,0))</f>
        <v>1</v>
      </c>
      <c r="AM296" s="7" t="n">
        <f aca="true">IF(I296="","",TODAY()-I296)</f>
        <v>7</v>
      </c>
      <c r="AN296" s="7" t="n">
        <f aca="false">IF(A296="","",IF(AND(E296&lt;&gt;"33 確認済",E296&lt;&gt;"36 送付中"),1,0))</f>
        <v>1</v>
      </c>
      <c r="AO296" s="7" t="n">
        <f aca="false">IF(A296="","",IF(AG296&lt;&gt;"",1,0))</f>
        <v>1</v>
      </c>
    </row>
    <row r="297" customFormat="false" ht="15" hidden="false" customHeight="false" outlineLevel="0" collapsed="false">
      <c r="A297" s="3" t="n">
        <v>202660001460</v>
      </c>
      <c r="B297" s="3"/>
      <c r="C297" s="3"/>
      <c r="D297" s="3" t="n">
        <v>20</v>
      </c>
      <c r="E297" s="3" t="s">
        <v>69</v>
      </c>
      <c r="F297" s="3"/>
      <c r="G297" s="3"/>
      <c r="H297" s="4" t="n">
        <v>46023</v>
      </c>
      <c r="I297" s="5" t="n">
        <v>46283</v>
      </c>
      <c r="J297" s="3"/>
      <c r="K297" s="3"/>
      <c r="L297" s="3"/>
      <c r="M297" s="3"/>
      <c r="N297" s="3"/>
      <c r="O297" s="3" t="s">
        <v>81</v>
      </c>
      <c r="P297" s="6" t="s">
        <v>60</v>
      </c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 t="n">
        <v>25</v>
      </c>
      <c r="AC297" s="3" t="n">
        <v>1</v>
      </c>
      <c r="AD297" s="6" t="s">
        <v>46</v>
      </c>
      <c r="AE297" s="3" t="s">
        <v>54</v>
      </c>
      <c r="AF297" s="3"/>
      <c r="AG297" s="3"/>
      <c r="AH297" s="6" t="s">
        <v>46</v>
      </c>
      <c r="AI297" s="3"/>
      <c r="AJ297" s="3"/>
      <c r="AK297" s="3"/>
      <c r="AL297" s="7" t="n">
        <f aca="false">IF(A297="","",IF(COUNTIF(A297:A$2001,A297)=1,1,0))</f>
        <v>1</v>
      </c>
      <c r="AM297" s="7" t="n">
        <f aca="true">IF(I297="","",TODAY()-I297)</f>
        <v>7</v>
      </c>
      <c r="AN297" s="7" t="n">
        <f aca="false">IF(A297="","",IF(AND(E297&lt;&gt;"33 確認済",E297&lt;&gt;"36 送付中"),1,0))</f>
        <v>1</v>
      </c>
      <c r="AO297" s="7" t="n">
        <f aca="false">IF(A297="","",IF(AG297&lt;&gt;"",1,0))</f>
        <v>0</v>
      </c>
    </row>
    <row r="298" customFormat="false" ht="15" hidden="false" customHeight="false" outlineLevel="0" collapsed="false">
      <c r="A298" s="3" t="n">
        <v>202660001461</v>
      </c>
      <c r="B298" s="3"/>
      <c r="C298" s="3"/>
      <c r="D298" s="3" t="n">
        <v>31</v>
      </c>
      <c r="E298" s="3" t="s">
        <v>41</v>
      </c>
      <c r="F298" s="3"/>
      <c r="G298" s="3"/>
      <c r="H298" s="4" t="n">
        <v>46255</v>
      </c>
      <c r="I298" s="5" t="n">
        <v>46282</v>
      </c>
      <c r="J298" s="4" t="n">
        <v>46289</v>
      </c>
      <c r="K298" s="4" t="n">
        <v>46289</v>
      </c>
      <c r="L298" s="3"/>
      <c r="M298" s="3"/>
      <c r="N298" s="3"/>
      <c r="O298" s="3" t="s">
        <v>42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 t="n">
        <v>21</v>
      </c>
      <c r="AC298" s="3" t="n">
        <v>1</v>
      </c>
      <c r="AD298" s="6" t="s">
        <v>46</v>
      </c>
      <c r="AE298" s="3" t="s">
        <v>55</v>
      </c>
      <c r="AF298" s="6" t="s">
        <v>46</v>
      </c>
      <c r="AG298" s="6" t="s">
        <v>46</v>
      </c>
      <c r="AH298" s="3"/>
      <c r="AI298" s="3"/>
      <c r="AJ298" s="3"/>
      <c r="AK298" s="3"/>
      <c r="AL298" s="7" t="n">
        <f aca="false">IF(A298="","",IF(COUNTIF(A298:A$2001,A298)=1,1,0))</f>
        <v>1</v>
      </c>
      <c r="AM298" s="7" t="n">
        <f aca="true">IF(I298="","",TODAY()-I298)</f>
        <v>8</v>
      </c>
      <c r="AN298" s="7" t="n">
        <f aca="false">IF(A298="","",IF(AND(E298&lt;&gt;"33 確認済",E298&lt;&gt;"36 送付中"),1,0))</f>
        <v>1</v>
      </c>
      <c r="AO298" s="7" t="n">
        <f aca="false">IF(A298="","",IF(AG298&lt;&gt;"",1,0))</f>
        <v>1</v>
      </c>
    </row>
    <row r="299" customFormat="false" ht="15" hidden="false" customHeight="false" outlineLevel="0" collapsed="false">
      <c r="A299" s="3" t="n">
        <v>202660001462</v>
      </c>
      <c r="B299" s="3"/>
      <c r="C299" s="3"/>
      <c r="D299" s="3" t="n">
        <v>30</v>
      </c>
      <c r="E299" s="3" t="s">
        <v>93</v>
      </c>
      <c r="F299" s="3"/>
      <c r="G299" s="3"/>
      <c r="H299" s="4" t="n">
        <v>46011</v>
      </c>
      <c r="I299" s="5" t="n">
        <v>46283</v>
      </c>
      <c r="J299" s="4" t="n">
        <v>46283</v>
      </c>
      <c r="K299" s="3"/>
      <c r="L299" s="3"/>
      <c r="M299" s="3"/>
      <c r="N299" s="3"/>
      <c r="O299" s="3" t="s">
        <v>94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 t="n">
        <v>23</v>
      </c>
      <c r="AC299" s="3" t="n">
        <v>1</v>
      </c>
      <c r="AD299" s="6" t="s">
        <v>46</v>
      </c>
      <c r="AE299" s="3" t="s">
        <v>52</v>
      </c>
      <c r="AF299" s="3"/>
      <c r="AG299" s="3"/>
      <c r="AH299" s="3"/>
      <c r="AI299" s="3"/>
      <c r="AJ299" s="3"/>
      <c r="AK299" s="3"/>
      <c r="AL299" s="7" t="n">
        <f aca="false">IF(A299="","",IF(COUNTIF(A299:A$2001,A299)=1,1,0))</f>
        <v>0</v>
      </c>
      <c r="AM299" s="7" t="n">
        <f aca="true">IF(I299="","",TODAY()-I299)</f>
        <v>7</v>
      </c>
      <c r="AN299" s="7" t="n">
        <f aca="false">IF(A299="","",IF(AND(E299&lt;&gt;"33 確認済",E299&lt;&gt;"36 送付中"),1,0))</f>
        <v>1</v>
      </c>
      <c r="AO299" s="7" t="n">
        <f aca="false">IF(A299="","",IF(AG299&lt;&gt;"",1,0))</f>
        <v>0</v>
      </c>
    </row>
    <row r="300" customFormat="false" ht="15" hidden="false" customHeight="false" outlineLevel="0" collapsed="false">
      <c r="A300" s="3" t="n">
        <v>202660001462</v>
      </c>
      <c r="B300" s="3"/>
      <c r="C300" s="3"/>
      <c r="D300" s="3" t="n">
        <v>30</v>
      </c>
      <c r="E300" s="3" t="s">
        <v>93</v>
      </c>
      <c r="F300" s="3"/>
      <c r="G300" s="3"/>
      <c r="H300" s="4" t="n">
        <v>46011</v>
      </c>
      <c r="I300" s="5" t="n">
        <v>46283</v>
      </c>
      <c r="J300" s="4" t="n">
        <v>46283</v>
      </c>
      <c r="K300" s="3"/>
      <c r="L300" s="3"/>
      <c r="M300" s="3"/>
      <c r="N300" s="3"/>
      <c r="O300" s="3" t="s">
        <v>94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 t="n">
        <v>23</v>
      </c>
      <c r="AC300" s="3" t="n">
        <v>1</v>
      </c>
      <c r="AD300" s="6" t="s">
        <v>46</v>
      </c>
      <c r="AE300" s="3" t="s">
        <v>53</v>
      </c>
      <c r="AF300" s="3"/>
      <c r="AG300" s="3"/>
      <c r="AH300" s="3"/>
      <c r="AI300" s="3"/>
      <c r="AJ300" s="3"/>
      <c r="AK300" s="3"/>
      <c r="AL300" s="7" t="n">
        <f aca="false">IF(A300="","",IF(COUNTIF(A300:A$2001,A300)=1,1,0))</f>
        <v>1</v>
      </c>
      <c r="AM300" s="7" t="n">
        <f aca="true">IF(I300="","",TODAY()-I300)</f>
        <v>7</v>
      </c>
      <c r="AN300" s="7" t="n">
        <f aca="false">IF(A300="","",IF(AND(E300&lt;&gt;"33 確認済",E300&lt;&gt;"36 送付中"),1,0))</f>
        <v>1</v>
      </c>
      <c r="AO300" s="7" t="n">
        <f aca="false">IF(A300="","",IF(AG300&lt;&gt;"",1,0))</f>
        <v>0</v>
      </c>
    </row>
    <row r="301" customFormat="false" ht="15" hidden="false" customHeight="false" outlineLevel="0" collapsed="false">
      <c r="A301" s="3" t="n">
        <v>202660001463</v>
      </c>
      <c r="B301" s="3"/>
      <c r="C301" s="3"/>
      <c r="D301" s="3" t="n">
        <v>30</v>
      </c>
      <c r="E301" s="3" t="s">
        <v>93</v>
      </c>
      <c r="F301" s="3"/>
      <c r="G301" s="3"/>
      <c r="H301" s="4" t="n">
        <v>46242</v>
      </c>
      <c r="I301" s="5" t="n">
        <v>46283</v>
      </c>
      <c r="J301" s="4" t="n">
        <v>46283</v>
      </c>
      <c r="K301" s="3"/>
      <c r="L301" s="3"/>
      <c r="M301" s="3"/>
      <c r="N301" s="3"/>
      <c r="O301" s="3" t="s">
        <v>94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 t="n">
        <v>23</v>
      </c>
      <c r="AC301" s="3" t="n">
        <v>1</v>
      </c>
      <c r="AD301" s="6" t="s">
        <v>46</v>
      </c>
      <c r="AE301" s="3" t="s">
        <v>52</v>
      </c>
      <c r="AF301" s="3"/>
      <c r="AG301" s="3"/>
      <c r="AH301" s="3"/>
      <c r="AI301" s="3"/>
      <c r="AJ301" s="3"/>
      <c r="AK301" s="3"/>
      <c r="AL301" s="7" t="n">
        <f aca="false">IF(A301="","",IF(COUNTIF(A301:A$2001,A301)=1,1,0))</f>
        <v>0</v>
      </c>
      <c r="AM301" s="7" t="n">
        <f aca="true">IF(I301="","",TODAY()-I301)</f>
        <v>7</v>
      </c>
      <c r="AN301" s="7" t="n">
        <f aca="false">IF(A301="","",IF(AND(E301&lt;&gt;"33 確認済",E301&lt;&gt;"36 送付中"),1,0))</f>
        <v>1</v>
      </c>
      <c r="AO301" s="7" t="n">
        <f aca="false">IF(A301="","",IF(AG301&lt;&gt;"",1,0))</f>
        <v>0</v>
      </c>
    </row>
    <row r="302" customFormat="false" ht="15" hidden="false" customHeight="false" outlineLevel="0" collapsed="false">
      <c r="A302" s="3" t="n">
        <v>202660001463</v>
      </c>
      <c r="B302" s="3"/>
      <c r="C302" s="3"/>
      <c r="D302" s="3" t="n">
        <v>30</v>
      </c>
      <c r="E302" s="3" t="s">
        <v>93</v>
      </c>
      <c r="F302" s="3"/>
      <c r="G302" s="3"/>
      <c r="H302" s="4" t="n">
        <v>46242</v>
      </c>
      <c r="I302" s="5" t="n">
        <v>46283</v>
      </c>
      <c r="J302" s="4" t="n">
        <v>46283</v>
      </c>
      <c r="K302" s="3"/>
      <c r="L302" s="3"/>
      <c r="M302" s="3"/>
      <c r="N302" s="3"/>
      <c r="O302" s="3" t="s">
        <v>94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 t="n">
        <v>23</v>
      </c>
      <c r="AC302" s="3" t="n">
        <v>1</v>
      </c>
      <c r="AD302" s="6" t="s">
        <v>46</v>
      </c>
      <c r="AE302" s="3" t="s">
        <v>53</v>
      </c>
      <c r="AF302" s="3"/>
      <c r="AG302" s="3"/>
      <c r="AH302" s="3"/>
      <c r="AI302" s="3"/>
      <c r="AJ302" s="3"/>
      <c r="AK302" s="3"/>
      <c r="AL302" s="7" t="n">
        <f aca="false">IF(A302="","",IF(COUNTIF(A302:A$2001,A302)=1,1,0))</f>
        <v>1</v>
      </c>
      <c r="AM302" s="7" t="n">
        <f aca="true">IF(I302="","",TODAY()-I302)</f>
        <v>7</v>
      </c>
      <c r="AN302" s="7" t="n">
        <f aca="false">IF(A302="","",IF(AND(E302&lt;&gt;"33 確認済",E302&lt;&gt;"36 送付中"),1,0))</f>
        <v>1</v>
      </c>
      <c r="AO302" s="7" t="n">
        <f aca="false">IF(A302="","",IF(AG302&lt;&gt;"",1,0))</f>
        <v>0</v>
      </c>
    </row>
    <row r="303" customFormat="false" ht="15" hidden="false" customHeight="false" outlineLevel="0" collapsed="false">
      <c r="A303" s="3" t="n">
        <v>202660001464</v>
      </c>
      <c r="B303" s="3"/>
      <c r="C303" s="3"/>
      <c r="D303" s="3" t="n">
        <v>30</v>
      </c>
      <c r="E303" s="3" t="s">
        <v>93</v>
      </c>
      <c r="F303" s="3"/>
      <c r="G303" s="3"/>
      <c r="H303" s="4" t="n">
        <v>46113</v>
      </c>
      <c r="I303" s="5" t="n">
        <v>46283</v>
      </c>
      <c r="J303" s="4" t="n">
        <v>46289</v>
      </c>
      <c r="K303" s="3"/>
      <c r="L303" s="3"/>
      <c r="M303" s="3"/>
      <c r="N303" s="3"/>
      <c r="O303" s="3" t="s">
        <v>94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 t="n">
        <v>47</v>
      </c>
      <c r="AC303" s="3" t="n">
        <v>0</v>
      </c>
      <c r="AD303" s="6" t="s">
        <v>43</v>
      </c>
      <c r="AE303" s="3" t="s">
        <v>44</v>
      </c>
      <c r="AF303" s="3"/>
      <c r="AG303" s="3"/>
      <c r="AH303" s="6" t="s">
        <v>43</v>
      </c>
      <c r="AI303" s="3"/>
      <c r="AJ303" s="3"/>
      <c r="AK303" s="3"/>
      <c r="AL303" s="7" t="n">
        <f aca="false">IF(A303="","",IF(COUNTIF(A303:A$2001,A303)=1,1,0))</f>
        <v>1</v>
      </c>
      <c r="AM303" s="7" t="n">
        <f aca="true">IF(I303="","",TODAY()-I303)</f>
        <v>7</v>
      </c>
      <c r="AN303" s="7" t="n">
        <f aca="false">IF(A303="","",IF(AND(E303&lt;&gt;"33 確認済",E303&lt;&gt;"36 送付中"),1,0))</f>
        <v>1</v>
      </c>
      <c r="AO303" s="7" t="n">
        <f aca="false">IF(A303="","",IF(AG303&lt;&gt;"",1,0))</f>
        <v>0</v>
      </c>
    </row>
    <row r="304" customFormat="false" ht="15" hidden="false" customHeight="false" outlineLevel="0" collapsed="false">
      <c r="A304" s="3" t="n">
        <v>202660001466</v>
      </c>
      <c r="B304" s="3"/>
      <c r="C304" s="3"/>
      <c r="D304" s="3" t="n">
        <v>30</v>
      </c>
      <c r="E304" s="3" t="s">
        <v>93</v>
      </c>
      <c r="F304" s="3"/>
      <c r="G304" s="3"/>
      <c r="H304" s="4" t="n">
        <v>46272</v>
      </c>
      <c r="I304" s="5" t="n">
        <v>46283</v>
      </c>
      <c r="J304" s="4" t="n">
        <v>46283</v>
      </c>
      <c r="K304" s="3"/>
      <c r="L304" s="3"/>
      <c r="M304" s="3"/>
      <c r="N304" s="3"/>
      <c r="O304" s="3" t="s">
        <v>94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 t="n">
        <v>23</v>
      </c>
      <c r="AC304" s="3" t="n">
        <v>1</v>
      </c>
      <c r="AD304" s="6" t="s">
        <v>46</v>
      </c>
      <c r="AE304" s="3" t="s">
        <v>52</v>
      </c>
      <c r="AF304" s="3"/>
      <c r="AG304" s="3"/>
      <c r="AH304" s="3"/>
      <c r="AI304" s="3"/>
      <c r="AJ304" s="3"/>
      <c r="AK304" s="3"/>
      <c r="AL304" s="7" t="n">
        <f aca="false">IF(A304="","",IF(COUNTIF(A304:A$2001,A304)=1,1,0))</f>
        <v>0</v>
      </c>
      <c r="AM304" s="7" t="n">
        <f aca="true">IF(I304="","",TODAY()-I304)</f>
        <v>7</v>
      </c>
      <c r="AN304" s="7" t="n">
        <f aca="false">IF(A304="","",IF(AND(E304&lt;&gt;"33 確認済",E304&lt;&gt;"36 送付中"),1,0))</f>
        <v>1</v>
      </c>
      <c r="AO304" s="7" t="n">
        <f aca="false">IF(A304="","",IF(AG304&lt;&gt;"",1,0))</f>
        <v>0</v>
      </c>
    </row>
    <row r="305" customFormat="false" ht="15" hidden="false" customHeight="false" outlineLevel="0" collapsed="false">
      <c r="A305" s="3" t="n">
        <v>202660001466</v>
      </c>
      <c r="B305" s="3"/>
      <c r="C305" s="3"/>
      <c r="D305" s="3" t="n">
        <v>30</v>
      </c>
      <c r="E305" s="3" t="s">
        <v>93</v>
      </c>
      <c r="F305" s="3"/>
      <c r="G305" s="3"/>
      <c r="H305" s="4" t="n">
        <v>46272</v>
      </c>
      <c r="I305" s="5" t="n">
        <v>46283</v>
      </c>
      <c r="J305" s="4" t="n">
        <v>46283</v>
      </c>
      <c r="K305" s="3"/>
      <c r="L305" s="3"/>
      <c r="M305" s="3"/>
      <c r="N305" s="3"/>
      <c r="O305" s="3" t="s">
        <v>94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 t="n">
        <v>23</v>
      </c>
      <c r="AC305" s="3" t="n">
        <v>1</v>
      </c>
      <c r="AD305" s="6" t="s">
        <v>46</v>
      </c>
      <c r="AE305" s="3" t="s">
        <v>53</v>
      </c>
      <c r="AF305" s="3"/>
      <c r="AG305" s="3"/>
      <c r="AH305" s="3"/>
      <c r="AI305" s="3"/>
      <c r="AJ305" s="3"/>
      <c r="AK305" s="3"/>
      <c r="AL305" s="7" t="n">
        <f aca="false">IF(A305="","",IF(COUNTIF(A305:A$2001,A305)=1,1,0))</f>
        <v>1</v>
      </c>
      <c r="AM305" s="7" t="n">
        <f aca="true">IF(I305="","",TODAY()-I305)</f>
        <v>7</v>
      </c>
      <c r="AN305" s="7" t="n">
        <f aca="false">IF(A305="","",IF(AND(E305&lt;&gt;"33 確認済",E305&lt;&gt;"36 送付中"),1,0))</f>
        <v>1</v>
      </c>
      <c r="AO305" s="7" t="n">
        <f aca="false">IF(A305="","",IF(AG305&lt;&gt;"",1,0))</f>
        <v>0</v>
      </c>
    </row>
    <row r="306" customFormat="false" ht="15" hidden="false" customHeight="false" outlineLevel="0" collapsed="false">
      <c r="A306" s="3" t="n">
        <v>202660001467</v>
      </c>
      <c r="B306" s="3"/>
      <c r="C306" s="3"/>
      <c r="D306" s="3" t="n">
        <v>31</v>
      </c>
      <c r="E306" s="3" t="s">
        <v>41</v>
      </c>
      <c r="F306" s="3"/>
      <c r="G306" s="3"/>
      <c r="H306" s="4" t="n">
        <v>46113</v>
      </c>
      <c r="I306" s="5" t="n">
        <v>46283</v>
      </c>
      <c r="J306" s="4" t="n">
        <v>46289</v>
      </c>
      <c r="K306" s="4" t="n">
        <v>46289</v>
      </c>
      <c r="L306" s="3"/>
      <c r="M306" s="3"/>
      <c r="N306" s="3"/>
      <c r="O306" s="3" t="s">
        <v>56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 t="n">
        <v>47</v>
      </c>
      <c r="AC306" s="3" t="n">
        <v>0</v>
      </c>
      <c r="AD306" s="6" t="s">
        <v>43</v>
      </c>
      <c r="AE306" s="3" t="s">
        <v>44</v>
      </c>
      <c r="AF306" s="3"/>
      <c r="AG306" s="3"/>
      <c r="AH306" s="6" t="s">
        <v>43</v>
      </c>
      <c r="AI306" s="3"/>
      <c r="AJ306" s="3"/>
      <c r="AK306" s="3"/>
      <c r="AL306" s="7" t="n">
        <f aca="false">IF(A306="","",IF(COUNTIF(A306:A$2001,A306)=1,1,0))</f>
        <v>1</v>
      </c>
      <c r="AM306" s="7" t="n">
        <f aca="true">IF(I306="","",TODAY()-I306)</f>
        <v>7</v>
      </c>
      <c r="AN306" s="7" t="n">
        <f aca="false">IF(A306="","",IF(AND(E306&lt;&gt;"33 確認済",E306&lt;&gt;"36 送付中"),1,0))</f>
        <v>1</v>
      </c>
      <c r="AO306" s="7" t="n">
        <f aca="false">IF(A306="","",IF(AG306&lt;&gt;"",1,0))</f>
        <v>0</v>
      </c>
    </row>
    <row r="307" customFormat="false" ht="15" hidden="false" customHeight="false" outlineLevel="0" collapsed="false">
      <c r="A307" s="3" t="n">
        <v>202660001468</v>
      </c>
      <c r="B307" s="3"/>
      <c r="C307" s="3"/>
      <c r="D307" s="3" t="n">
        <v>30</v>
      </c>
      <c r="E307" s="3" t="s">
        <v>93</v>
      </c>
      <c r="F307" s="3"/>
      <c r="G307" s="3"/>
      <c r="H307" s="4" t="n">
        <v>46228</v>
      </c>
      <c r="I307" s="5" t="n">
        <v>46283</v>
      </c>
      <c r="J307" s="4" t="n">
        <v>46289</v>
      </c>
      <c r="K307" s="3"/>
      <c r="L307" s="3"/>
      <c r="M307" s="3"/>
      <c r="N307" s="3"/>
      <c r="O307" s="3" t="s">
        <v>94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 t="n">
        <v>23</v>
      </c>
      <c r="AC307" s="3" t="n">
        <v>1</v>
      </c>
      <c r="AD307" s="6" t="s">
        <v>46</v>
      </c>
      <c r="AE307" s="3" t="s">
        <v>52</v>
      </c>
      <c r="AF307" s="3"/>
      <c r="AG307" s="3"/>
      <c r="AH307" s="3"/>
      <c r="AI307" s="3"/>
      <c r="AJ307" s="3"/>
      <c r="AK307" s="3"/>
      <c r="AL307" s="7" t="n">
        <f aca="false">IF(A307="","",IF(COUNTIF(A307:A$2001,A307)=1,1,0))</f>
        <v>0</v>
      </c>
      <c r="AM307" s="7" t="n">
        <f aca="true">IF(I307="","",TODAY()-I307)</f>
        <v>7</v>
      </c>
      <c r="AN307" s="7" t="n">
        <f aca="false">IF(A307="","",IF(AND(E307&lt;&gt;"33 確認済",E307&lt;&gt;"36 送付中"),1,0))</f>
        <v>1</v>
      </c>
      <c r="AO307" s="7" t="n">
        <f aca="false">IF(A307="","",IF(AG307&lt;&gt;"",1,0))</f>
        <v>0</v>
      </c>
    </row>
    <row r="308" customFormat="false" ht="15" hidden="false" customHeight="false" outlineLevel="0" collapsed="false">
      <c r="A308" s="3" t="n">
        <v>202660001468</v>
      </c>
      <c r="B308" s="3"/>
      <c r="C308" s="3"/>
      <c r="D308" s="3" t="n">
        <v>30</v>
      </c>
      <c r="E308" s="3" t="s">
        <v>93</v>
      </c>
      <c r="F308" s="3"/>
      <c r="G308" s="3"/>
      <c r="H308" s="4" t="n">
        <v>46228</v>
      </c>
      <c r="I308" s="5" t="n">
        <v>46283</v>
      </c>
      <c r="J308" s="4" t="n">
        <v>46289</v>
      </c>
      <c r="K308" s="3"/>
      <c r="L308" s="3"/>
      <c r="M308" s="3"/>
      <c r="N308" s="3"/>
      <c r="O308" s="3" t="s">
        <v>94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 t="n">
        <v>23</v>
      </c>
      <c r="AC308" s="3" t="n">
        <v>1</v>
      </c>
      <c r="AD308" s="6" t="s">
        <v>46</v>
      </c>
      <c r="AE308" s="3" t="s">
        <v>53</v>
      </c>
      <c r="AF308" s="3"/>
      <c r="AG308" s="3"/>
      <c r="AH308" s="3"/>
      <c r="AI308" s="3"/>
      <c r="AJ308" s="3"/>
      <c r="AK308" s="3"/>
      <c r="AL308" s="7" t="n">
        <f aca="false">IF(A308="","",IF(COUNTIF(A308:A$2001,A308)=1,1,0))</f>
        <v>1</v>
      </c>
      <c r="AM308" s="7" t="n">
        <f aca="true">IF(I308="","",TODAY()-I308)</f>
        <v>7</v>
      </c>
      <c r="AN308" s="7" t="n">
        <f aca="false">IF(A308="","",IF(AND(E308&lt;&gt;"33 確認済",E308&lt;&gt;"36 送付中"),1,0))</f>
        <v>1</v>
      </c>
      <c r="AO308" s="7" t="n">
        <f aca="false">IF(A308="","",IF(AG308&lt;&gt;"",1,0))</f>
        <v>0</v>
      </c>
    </row>
    <row r="309" customFormat="false" ht="15" hidden="false" customHeight="false" outlineLevel="0" collapsed="false">
      <c r="A309" s="3" t="n">
        <v>202660001469</v>
      </c>
      <c r="B309" s="3"/>
      <c r="C309" s="3"/>
      <c r="D309" s="3" t="n">
        <v>20</v>
      </c>
      <c r="E309" s="3" t="s">
        <v>69</v>
      </c>
      <c r="F309" s="3"/>
      <c r="G309" s="3"/>
      <c r="H309" s="4" t="n">
        <v>46088</v>
      </c>
      <c r="I309" s="5" t="n">
        <v>46288</v>
      </c>
      <c r="J309" s="3"/>
      <c r="K309" s="3"/>
      <c r="L309" s="3"/>
      <c r="M309" s="3"/>
      <c r="N309" s="3"/>
      <c r="O309" s="3" t="s">
        <v>81</v>
      </c>
      <c r="P309" s="6" t="s">
        <v>60</v>
      </c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 t="n">
        <v>22</v>
      </c>
      <c r="AC309" s="3" t="n">
        <v>1</v>
      </c>
      <c r="AD309" s="6" t="s">
        <v>46</v>
      </c>
      <c r="AE309" s="3" t="s">
        <v>47</v>
      </c>
      <c r="AF309" s="3"/>
      <c r="AG309" s="3"/>
      <c r="AH309" s="6" t="s">
        <v>46</v>
      </c>
      <c r="AI309" s="3"/>
      <c r="AJ309" s="3"/>
      <c r="AK309" s="3"/>
      <c r="AL309" s="7" t="n">
        <f aca="false">IF(A309="","",IF(COUNTIF(A309:A$2001,A309)=1,1,0))</f>
        <v>1</v>
      </c>
      <c r="AM309" s="7" t="n">
        <f aca="true">IF(I309="","",TODAY()-I309)</f>
        <v>2</v>
      </c>
      <c r="AN309" s="7" t="n">
        <f aca="false">IF(A309="","",IF(AND(E309&lt;&gt;"33 確認済",E309&lt;&gt;"36 送付中"),1,0))</f>
        <v>1</v>
      </c>
      <c r="AO309" s="7" t="n">
        <f aca="false">IF(A309="","",IF(AG309&lt;&gt;"",1,0))</f>
        <v>0</v>
      </c>
    </row>
    <row r="310" customFormat="false" ht="15" hidden="false" customHeight="false" outlineLevel="0" collapsed="false">
      <c r="A310" s="3" t="n">
        <v>202660001470</v>
      </c>
      <c r="B310" s="3"/>
      <c r="C310" s="3"/>
      <c r="D310" s="3" t="n">
        <v>30</v>
      </c>
      <c r="E310" s="3" t="s">
        <v>93</v>
      </c>
      <c r="F310" s="3"/>
      <c r="G310" s="3"/>
      <c r="H310" s="4" t="n">
        <v>46283</v>
      </c>
      <c r="I310" s="5" t="n">
        <v>46283</v>
      </c>
      <c r="J310" s="4" t="n">
        <v>46289</v>
      </c>
      <c r="K310" s="3"/>
      <c r="L310" s="3"/>
      <c r="M310" s="3"/>
      <c r="N310" s="3"/>
      <c r="O310" s="3" t="s">
        <v>94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 t="n">
        <v>51</v>
      </c>
      <c r="AC310" s="3" t="n">
        <v>0</v>
      </c>
      <c r="AD310" s="6" t="s">
        <v>43</v>
      </c>
      <c r="AE310" s="3" t="s">
        <v>72</v>
      </c>
      <c r="AF310" s="6" t="s">
        <v>43</v>
      </c>
      <c r="AG310" s="3"/>
      <c r="AH310" s="3"/>
      <c r="AI310" s="3"/>
      <c r="AJ310" s="3"/>
      <c r="AK310" s="3"/>
      <c r="AL310" s="7" t="n">
        <f aca="false">IF(A310="","",IF(COUNTIF(A310:A$2001,A310)=1,1,0))</f>
        <v>1</v>
      </c>
      <c r="AM310" s="7" t="n">
        <f aca="true">IF(I310="","",TODAY()-I310)</f>
        <v>7</v>
      </c>
      <c r="AN310" s="7" t="n">
        <f aca="false">IF(A310="","",IF(AND(E310&lt;&gt;"33 確認済",E310&lt;&gt;"36 送付中"),1,0))</f>
        <v>1</v>
      </c>
      <c r="AO310" s="7" t="n">
        <f aca="false">IF(A310="","",IF(AG310&lt;&gt;"",1,0))</f>
        <v>0</v>
      </c>
    </row>
    <row r="311" customFormat="false" ht="15" hidden="false" customHeight="false" outlineLevel="0" collapsed="false">
      <c r="A311" s="3" t="n">
        <v>202660001471</v>
      </c>
      <c r="B311" s="3"/>
      <c r="C311" s="3"/>
      <c r="D311" s="3" t="n">
        <v>30</v>
      </c>
      <c r="E311" s="3" t="s">
        <v>93</v>
      </c>
      <c r="F311" s="3"/>
      <c r="G311" s="3"/>
      <c r="H311" s="4" t="n">
        <v>46143</v>
      </c>
      <c r="I311" s="5" t="n">
        <v>46283</v>
      </c>
      <c r="J311" s="4" t="n">
        <v>46289</v>
      </c>
      <c r="K311" s="3"/>
      <c r="L311" s="3"/>
      <c r="M311" s="3"/>
      <c r="N311" s="3"/>
      <c r="O311" s="3" t="s">
        <v>94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 t="n">
        <v>49</v>
      </c>
      <c r="AC311" s="3" t="n">
        <v>0</v>
      </c>
      <c r="AD311" s="6" t="s">
        <v>43</v>
      </c>
      <c r="AE311" s="3" t="s">
        <v>83</v>
      </c>
      <c r="AF311" s="6" t="s">
        <v>43</v>
      </c>
      <c r="AG311" s="6" t="s">
        <v>43</v>
      </c>
      <c r="AH311" s="6" t="s">
        <v>43</v>
      </c>
      <c r="AI311" s="3"/>
      <c r="AJ311" s="3"/>
      <c r="AK311" s="3"/>
      <c r="AL311" s="7" t="n">
        <f aca="false">IF(A311="","",IF(COUNTIF(A311:A$2001,A311)=1,1,0))</f>
        <v>1</v>
      </c>
      <c r="AM311" s="7" t="n">
        <f aca="true">IF(I311="","",TODAY()-I311)</f>
        <v>7</v>
      </c>
      <c r="AN311" s="7" t="n">
        <f aca="false">IF(A311="","",IF(AND(E311&lt;&gt;"33 確認済",E311&lt;&gt;"36 送付中"),1,0))</f>
        <v>1</v>
      </c>
      <c r="AO311" s="7" t="n">
        <f aca="false">IF(A311="","",IF(AG311&lt;&gt;"",1,0))</f>
        <v>1</v>
      </c>
    </row>
    <row r="312" customFormat="false" ht="15" hidden="false" customHeight="false" outlineLevel="0" collapsed="false">
      <c r="A312" s="3" t="n">
        <v>202660001472</v>
      </c>
      <c r="B312" s="3"/>
      <c r="C312" s="3"/>
      <c r="D312" s="3" t="n">
        <v>20</v>
      </c>
      <c r="E312" s="3" t="s">
        <v>69</v>
      </c>
      <c r="F312" s="3"/>
      <c r="G312" s="3"/>
      <c r="H312" s="4" t="n">
        <v>46108</v>
      </c>
      <c r="I312" s="5" t="n">
        <v>46283</v>
      </c>
      <c r="J312" s="3"/>
      <c r="K312" s="3"/>
      <c r="L312" s="3"/>
      <c r="M312" s="3"/>
      <c r="N312" s="3"/>
      <c r="O312" s="3" t="s">
        <v>81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 t="n">
        <v>28</v>
      </c>
      <c r="AC312" s="3" t="n">
        <v>3</v>
      </c>
      <c r="AD312" s="6" t="s">
        <v>43</v>
      </c>
      <c r="AE312" s="3"/>
      <c r="AF312" s="3"/>
      <c r="AG312" s="3"/>
      <c r="AH312" s="3"/>
      <c r="AI312" s="3"/>
      <c r="AJ312" s="3"/>
      <c r="AK312" s="3"/>
      <c r="AL312" s="7" t="n">
        <f aca="false">IF(A312="","",IF(COUNTIF(A312:A$2001,A312)=1,1,0))</f>
        <v>1</v>
      </c>
      <c r="AM312" s="7" t="n">
        <f aca="true">IF(I312="","",TODAY()-I312)</f>
        <v>7</v>
      </c>
      <c r="AN312" s="7" t="n">
        <f aca="false">IF(A312="","",IF(AND(E312&lt;&gt;"33 確認済",E312&lt;&gt;"36 送付中"),1,0))</f>
        <v>1</v>
      </c>
      <c r="AO312" s="7" t="n">
        <f aca="false">IF(A312="","",IF(AG312&lt;&gt;"",1,0))</f>
        <v>0</v>
      </c>
    </row>
    <row r="313" customFormat="false" ht="15" hidden="false" customHeight="false" outlineLevel="0" collapsed="false">
      <c r="A313" s="3" t="n">
        <v>202660001473</v>
      </c>
      <c r="B313" s="3"/>
      <c r="C313" s="3"/>
      <c r="D313" s="3" t="n">
        <v>20</v>
      </c>
      <c r="E313" s="3" t="s">
        <v>69</v>
      </c>
      <c r="F313" s="3"/>
      <c r="G313" s="3"/>
      <c r="H313" s="4" t="n">
        <v>46289</v>
      </c>
      <c r="I313" s="5" t="n">
        <v>46289</v>
      </c>
      <c r="J313" s="3"/>
      <c r="K313" s="3"/>
      <c r="L313" s="3"/>
      <c r="M313" s="3"/>
      <c r="N313" s="3"/>
      <c r="O313" s="3" t="s">
        <v>67</v>
      </c>
      <c r="P313" s="6" t="s">
        <v>60</v>
      </c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 t="n">
        <v>27</v>
      </c>
      <c r="AC313" s="3" t="n">
        <v>1</v>
      </c>
      <c r="AD313" s="6" t="s">
        <v>46</v>
      </c>
      <c r="AE313" s="3" t="s">
        <v>66</v>
      </c>
      <c r="AF313" s="3"/>
      <c r="AG313" s="3"/>
      <c r="AH313" s="6" t="s">
        <v>46</v>
      </c>
      <c r="AI313" s="3"/>
      <c r="AJ313" s="3"/>
      <c r="AK313" s="3"/>
      <c r="AL313" s="7" t="n">
        <f aca="false">IF(A313="","",IF(COUNTIF(A313:A$2001,A313)=1,1,0))</f>
        <v>1</v>
      </c>
      <c r="AM313" s="7" t="n">
        <f aca="true">IF(I313="","",TODAY()-I313)</f>
        <v>1</v>
      </c>
      <c r="AN313" s="7" t="n">
        <f aca="false">IF(A313="","",IF(AND(E313&lt;&gt;"33 確認済",E313&lt;&gt;"36 送付中"),1,0))</f>
        <v>1</v>
      </c>
      <c r="AO313" s="7" t="n">
        <f aca="false">IF(A313="","",IF(AG313&lt;&gt;"",1,0))</f>
        <v>0</v>
      </c>
    </row>
    <row r="314" customFormat="false" ht="15" hidden="false" customHeight="false" outlineLevel="0" collapsed="false">
      <c r="A314" s="3" t="n">
        <v>202660001474</v>
      </c>
      <c r="B314" s="3"/>
      <c r="C314" s="3"/>
      <c r="D314" s="3" t="n">
        <v>30</v>
      </c>
      <c r="E314" s="3" t="s">
        <v>93</v>
      </c>
      <c r="F314" s="3"/>
      <c r="G314" s="3"/>
      <c r="H314" s="4" t="n">
        <v>46186</v>
      </c>
      <c r="I314" s="5" t="n">
        <v>46283</v>
      </c>
      <c r="J314" s="4" t="n">
        <v>46289</v>
      </c>
      <c r="K314" s="3"/>
      <c r="L314" s="3"/>
      <c r="M314" s="3"/>
      <c r="N314" s="3"/>
      <c r="O314" s="3" t="s">
        <v>94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 t="n">
        <v>23</v>
      </c>
      <c r="AC314" s="3" t="n">
        <v>1</v>
      </c>
      <c r="AD314" s="6" t="s">
        <v>46</v>
      </c>
      <c r="AE314" s="3" t="s">
        <v>52</v>
      </c>
      <c r="AF314" s="3"/>
      <c r="AG314" s="3"/>
      <c r="AH314" s="3"/>
      <c r="AI314" s="3"/>
      <c r="AJ314" s="3"/>
      <c r="AK314" s="3"/>
      <c r="AL314" s="7" t="n">
        <f aca="false">IF(A314="","",IF(COUNTIF(A314:A$2001,A314)=1,1,0))</f>
        <v>0</v>
      </c>
      <c r="AM314" s="7" t="n">
        <f aca="true">IF(I314="","",TODAY()-I314)</f>
        <v>7</v>
      </c>
      <c r="AN314" s="7" t="n">
        <f aca="false">IF(A314="","",IF(AND(E314&lt;&gt;"33 確認済",E314&lt;&gt;"36 送付中"),1,0))</f>
        <v>1</v>
      </c>
      <c r="AO314" s="7" t="n">
        <f aca="false">IF(A314="","",IF(AG314&lt;&gt;"",1,0))</f>
        <v>0</v>
      </c>
    </row>
    <row r="315" customFormat="false" ht="15" hidden="false" customHeight="false" outlineLevel="0" collapsed="false">
      <c r="A315" s="3" t="n">
        <v>202660001474</v>
      </c>
      <c r="B315" s="3"/>
      <c r="C315" s="3"/>
      <c r="D315" s="3" t="n">
        <v>30</v>
      </c>
      <c r="E315" s="3" t="s">
        <v>93</v>
      </c>
      <c r="F315" s="3"/>
      <c r="G315" s="3"/>
      <c r="H315" s="4" t="n">
        <v>46186</v>
      </c>
      <c r="I315" s="5" t="n">
        <v>46283</v>
      </c>
      <c r="J315" s="4" t="n">
        <v>46289</v>
      </c>
      <c r="K315" s="3"/>
      <c r="L315" s="3"/>
      <c r="M315" s="3"/>
      <c r="N315" s="3"/>
      <c r="O315" s="3" t="s">
        <v>94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 t="n">
        <v>23</v>
      </c>
      <c r="AC315" s="3" t="n">
        <v>1</v>
      </c>
      <c r="AD315" s="6" t="s">
        <v>46</v>
      </c>
      <c r="AE315" s="3" t="s">
        <v>53</v>
      </c>
      <c r="AF315" s="3"/>
      <c r="AG315" s="3"/>
      <c r="AH315" s="3"/>
      <c r="AI315" s="3"/>
      <c r="AJ315" s="3"/>
      <c r="AK315" s="3"/>
      <c r="AL315" s="7" t="n">
        <f aca="false">IF(A315="","",IF(COUNTIF(A315:A$2001,A315)=1,1,0))</f>
        <v>1</v>
      </c>
      <c r="AM315" s="7" t="n">
        <f aca="true">IF(I315="","",TODAY()-I315)</f>
        <v>7</v>
      </c>
      <c r="AN315" s="7" t="n">
        <f aca="false">IF(A315="","",IF(AND(E315&lt;&gt;"33 確認済",E315&lt;&gt;"36 送付中"),1,0))</f>
        <v>1</v>
      </c>
      <c r="AO315" s="7" t="n">
        <f aca="false">IF(A315="","",IF(AG315&lt;&gt;"",1,0))</f>
        <v>0</v>
      </c>
    </row>
    <row r="316" customFormat="false" ht="15" hidden="false" customHeight="false" outlineLevel="0" collapsed="false">
      <c r="A316" s="3" t="n">
        <v>202660001475</v>
      </c>
      <c r="B316" s="3"/>
      <c r="C316" s="3"/>
      <c r="D316" s="3" t="n">
        <v>30</v>
      </c>
      <c r="E316" s="3" t="s">
        <v>93</v>
      </c>
      <c r="F316" s="3"/>
      <c r="G316" s="3"/>
      <c r="H316" s="4" t="n">
        <v>46113</v>
      </c>
      <c r="I316" s="5" t="n">
        <v>46283</v>
      </c>
      <c r="J316" s="4" t="n">
        <v>46289</v>
      </c>
      <c r="K316" s="3"/>
      <c r="L316" s="3"/>
      <c r="M316" s="3"/>
      <c r="N316" s="3"/>
      <c r="O316" s="3" t="s">
        <v>94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 t="n">
        <v>47</v>
      </c>
      <c r="AC316" s="3" t="n">
        <v>0</v>
      </c>
      <c r="AD316" s="6" t="s">
        <v>43</v>
      </c>
      <c r="AE316" s="3" t="s">
        <v>44</v>
      </c>
      <c r="AF316" s="6" t="s">
        <v>43</v>
      </c>
      <c r="AG316" s="6" t="s">
        <v>43</v>
      </c>
      <c r="AH316" s="6" t="s">
        <v>43</v>
      </c>
      <c r="AI316" s="3"/>
      <c r="AJ316" s="3"/>
      <c r="AK316" s="3"/>
      <c r="AL316" s="7" t="n">
        <f aca="false">IF(A316="","",IF(COUNTIF(A316:A$2001,A316)=1,1,0))</f>
        <v>1</v>
      </c>
      <c r="AM316" s="7" t="n">
        <f aca="true">IF(I316="","",TODAY()-I316)</f>
        <v>7</v>
      </c>
      <c r="AN316" s="7" t="n">
        <f aca="false">IF(A316="","",IF(AND(E316&lt;&gt;"33 確認済",E316&lt;&gt;"36 送付中"),1,0))</f>
        <v>1</v>
      </c>
      <c r="AO316" s="7" t="n">
        <f aca="false">IF(A316="","",IF(AG316&lt;&gt;"",1,0))</f>
        <v>1</v>
      </c>
    </row>
    <row r="317" customFormat="false" ht="15" hidden="false" customHeight="false" outlineLevel="0" collapsed="false">
      <c r="A317" s="3" t="n">
        <v>202660001476</v>
      </c>
      <c r="B317" s="3"/>
      <c r="C317" s="3"/>
      <c r="D317" s="3" t="n">
        <v>30</v>
      </c>
      <c r="E317" s="3" t="s">
        <v>93</v>
      </c>
      <c r="F317" s="3"/>
      <c r="G317" s="3"/>
      <c r="H317" s="4" t="n">
        <v>46113</v>
      </c>
      <c r="I317" s="5" t="n">
        <v>46283</v>
      </c>
      <c r="J317" s="4" t="n">
        <v>46289</v>
      </c>
      <c r="K317" s="3"/>
      <c r="L317" s="3"/>
      <c r="M317" s="3"/>
      <c r="N317" s="3"/>
      <c r="O317" s="3" t="s">
        <v>94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 t="n">
        <v>47</v>
      </c>
      <c r="AC317" s="3" t="n">
        <v>0</v>
      </c>
      <c r="AD317" s="6" t="s">
        <v>43</v>
      </c>
      <c r="AE317" s="3" t="s">
        <v>44</v>
      </c>
      <c r="AF317" s="3"/>
      <c r="AG317" s="3"/>
      <c r="AH317" s="6" t="s">
        <v>43</v>
      </c>
      <c r="AI317" s="3"/>
      <c r="AJ317" s="3"/>
      <c r="AK317" s="3"/>
      <c r="AL317" s="7" t="n">
        <f aca="false">IF(A317="","",IF(COUNTIF(A317:A$2001,A317)=1,1,0))</f>
        <v>1</v>
      </c>
      <c r="AM317" s="7" t="n">
        <f aca="true">IF(I317="","",TODAY()-I317)</f>
        <v>7</v>
      </c>
      <c r="AN317" s="7" t="n">
        <f aca="false">IF(A317="","",IF(AND(E317&lt;&gt;"33 確認済",E317&lt;&gt;"36 送付中"),1,0))</f>
        <v>1</v>
      </c>
      <c r="AO317" s="7" t="n">
        <f aca="false">IF(A317="","",IF(AG317&lt;&gt;"",1,0))</f>
        <v>0</v>
      </c>
    </row>
    <row r="318" customFormat="false" ht="15" hidden="false" customHeight="false" outlineLevel="0" collapsed="false">
      <c r="A318" s="3" t="n">
        <v>202660001477</v>
      </c>
      <c r="B318" s="3"/>
      <c r="C318" s="3"/>
      <c r="D318" s="3" t="n">
        <v>30</v>
      </c>
      <c r="E318" s="3" t="s">
        <v>93</v>
      </c>
      <c r="F318" s="3"/>
      <c r="G318" s="3"/>
      <c r="H318" s="4" t="n">
        <v>46279</v>
      </c>
      <c r="I318" s="5" t="n">
        <v>46283</v>
      </c>
      <c r="J318" s="4" t="n">
        <v>46289</v>
      </c>
      <c r="K318" s="3"/>
      <c r="L318" s="3"/>
      <c r="M318" s="3"/>
      <c r="N318" s="3"/>
      <c r="O318" s="3" t="s">
        <v>94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 t="n">
        <v>23</v>
      </c>
      <c r="AC318" s="3" t="n">
        <v>1</v>
      </c>
      <c r="AD318" s="6" t="s">
        <v>46</v>
      </c>
      <c r="AE318" s="3" t="s">
        <v>52</v>
      </c>
      <c r="AF318" s="3"/>
      <c r="AG318" s="3"/>
      <c r="AH318" s="3"/>
      <c r="AI318" s="3"/>
      <c r="AJ318" s="3"/>
      <c r="AK318" s="3"/>
      <c r="AL318" s="7" t="n">
        <f aca="false">IF(A318="","",IF(COUNTIF(A318:A$2001,A318)=1,1,0))</f>
        <v>0</v>
      </c>
      <c r="AM318" s="7" t="n">
        <f aca="true">IF(I318="","",TODAY()-I318)</f>
        <v>7</v>
      </c>
      <c r="AN318" s="7" t="n">
        <f aca="false">IF(A318="","",IF(AND(E318&lt;&gt;"33 確認済",E318&lt;&gt;"36 送付中"),1,0))</f>
        <v>1</v>
      </c>
      <c r="AO318" s="7" t="n">
        <f aca="false">IF(A318="","",IF(AG318&lt;&gt;"",1,0))</f>
        <v>0</v>
      </c>
    </row>
    <row r="319" customFormat="false" ht="15" hidden="false" customHeight="false" outlineLevel="0" collapsed="false">
      <c r="A319" s="3" t="n">
        <v>202660001477</v>
      </c>
      <c r="B319" s="3"/>
      <c r="C319" s="3"/>
      <c r="D319" s="3" t="n">
        <v>30</v>
      </c>
      <c r="E319" s="3" t="s">
        <v>93</v>
      </c>
      <c r="F319" s="3"/>
      <c r="G319" s="3"/>
      <c r="H319" s="4" t="n">
        <v>46279</v>
      </c>
      <c r="I319" s="5" t="n">
        <v>46283</v>
      </c>
      <c r="J319" s="4" t="n">
        <v>46289</v>
      </c>
      <c r="K319" s="3"/>
      <c r="L319" s="3"/>
      <c r="M319" s="3"/>
      <c r="N319" s="3"/>
      <c r="O319" s="3" t="s">
        <v>94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 t="n">
        <v>23</v>
      </c>
      <c r="AC319" s="3" t="n">
        <v>1</v>
      </c>
      <c r="AD319" s="6" t="s">
        <v>46</v>
      </c>
      <c r="AE319" s="3" t="s">
        <v>53</v>
      </c>
      <c r="AF319" s="3"/>
      <c r="AG319" s="3"/>
      <c r="AH319" s="3"/>
      <c r="AI319" s="3"/>
      <c r="AJ319" s="3"/>
      <c r="AK319" s="3"/>
      <c r="AL319" s="7" t="n">
        <f aca="false">IF(A319="","",IF(COUNTIF(A319:A$2001,A319)=1,1,0))</f>
        <v>1</v>
      </c>
      <c r="AM319" s="7" t="n">
        <f aca="true">IF(I319="","",TODAY()-I319)</f>
        <v>7</v>
      </c>
      <c r="AN319" s="7" t="n">
        <f aca="false">IF(A319="","",IF(AND(E319&lt;&gt;"33 確認済",E319&lt;&gt;"36 送付中"),1,0))</f>
        <v>1</v>
      </c>
      <c r="AO319" s="7" t="n">
        <f aca="false">IF(A319="","",IF(AG319&lt;&gt;"",1,0))</f>
        <v>0</v>
      </c>
    </row>
    <row r="320" customFormat="false" ht="15" hidden="false" customHeight="false" outlineLevel="0" collapsed="false">
      <c r="A320" s="3" t="n">
        <v>202660001478</v>
      </c>
      <c r="B320" s="3"/>
      <c r="C320" s="3"/>
      <c r="D320" s="3" t="n">
        <v>30</v>
      </c>
      <c r="E320" s="3" t="s">
        <v>93</v>
      </c>
      <c r="F320" s="3"/>
      <c r="G320" s="3"/>
      <c r="H320" s="4" t="n">
        <v>46112</v>
      </c>
      <c r="I320" s="5" t="n">
        <v>46283</v>
      </c>
      <c r="J320" s="4" t="n">
        <v>46289</v>
      </c>
      <c r="K320" s="3"/>
      <c r="L320" s="3"/>
      <c r="M320" s="3"/>
      <c r="N320" s="3"/>
      <c r="O320" s="3" t="s">
        <v>94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 t="n">
        <v>3</v>
      </c>
      <c r="AC320" s="3" t="n">
        <v>0</v>
      </c>
      <c r="AD320" s="6" t="s">
        <v>43</v>
      </c>
      <c r="AE320" s="3" t="s">
        <v>73</v>
      </c>
      <c r="AF320" s="3"/>
      <c r="AG320" s="3"/>
      <c r="AH320" s="3"/>
      <c r="AI320" s="3"/>
      <c r="AJ320" s="3"/>
      <c r="AK320" s="3"/>
      <c r="AL320" s="7" t="n">
        <f aca="false">IF(A320="","",IF(COUNTIF(A320:A$2001,A320)=1,1,0))</f>
        <v>1</v>
      </c>
      <c r="AM320" s="7" t="n">
        <f aca="true">IF(I320="","",TODAY()-I320)</f>
        <v>7</v>
      </c>
      <c r="AN320" s="7" t="n">
        <f aca="false">IF(A320="","",IF(AND(E320&lt;&gt;"33 確認済",E320&lt;&gt;"36 送付中"),1,0))</f>
        <v>1</v>
      </c>
      <c r="AO320" s="7" t="n">
        <f aca="false">IF(A320="","",IF(AG320&lt;&gt;"",1,0))</f>
        <v>0</v>
      </c>
    </row>
    <row r="321" customFormat="false" ht="15" hidden="false" customHeight="false" outlineLevel="0" collapsed="false">
      <c r="A321" s="3" t="n">
        <v>202660001479</v>
      </c>
      <c r="B321" s="3"/>
      <c r="C321" s="3"/>
      <c r="D321" s="3" t="n">
        <v>30</v>
      </c>
      <c r="E321" s="3" t="s">
        <v>93</v>
      </c>
      <c r="F321" s="3"/>
      <c r="G321" s="3"/>
      <c r="H321" s="4" t="n">
        <v>46266</v>
      </c>
      <c r="I321" s="5" t="n">
        <v>46283</v>
      </c>
      <c r="J321" s="4" t="n">
        <v>46289</v>
      </c>
      <c r="K321" s="3"/>
      <c r="L321" s="3"/>
      <c r="M321" s="3"/>
      <c r="N321" s="3"/>
      <c r="O321" s="3" t="s">
        <v>94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 t="n">
        <v>51</v>
      </c>
      <c r="AC321" s="3" t="n">
        <v>0</v>
      </c>
      <c r="AD321" s="6" t="s">
        <v>43</v>
      </c>
      <c r="AE321" s="3" t="s">
        <v>72</v>
      </c>
      <c r="AF321" s="3"/>
      <c r="AG321" s="3"/>
      <c r="AH321" s="6" t="s">
        <v>43</v>
      </c>
      <c r="AI321" s="3"/>
      <c r="AJ321" s="3"/>
      <c r="AK321" s="3"/>
      <c r="AL321" s="7" t="n">
        <f aca="false">IF(A321="","",IF(COUNTIF(A321:A$2001,A321)=1,1,0))</f>
        <v>1</v>
      </c>
      <c r="AM321" s="7" t="n">
        <f aca="true">IF(I321="","",TODAY()-I321)</f>
        <v>7</v>
      </c>
      <c r="AN321" s="7" t="n">
        <f aca="false">IF(A321="","",IF(AND(E321&lt;&gt;"33 確認済",E321&lt;&gt;"36 送付中"),1,0))</f>
        <v>1</v>
      </c>
      <c r="AO321" s="7" t="n">
        <f aca="false">IF(A321="","",IF(AG321&lt;&gt;"",1,0))</f>
        <v>0</v>
      </c>
    </row>
    <row r="322" customFormat="false" ht="15" hidden="false" customHeight="false" outlineLevel="0" collapsed="false">
      <c r="A322" s="3" t="n">
        <v>202660001483</v>
      </c>
      <c r="B322" s="3"/>
      <c r="C322" s="3"/>
      <c r="D322" s="3" t="n">
        <v>20</v>
      </c>
      <c r="E322" s="3" t="s">
        <v>69</v>
      </c>
      <c r="F322" s="3"/>
      <c r="G322" s="3"/>
      <c r="H322" s="4" t="n">
        <v>46023</v>
      </c>
      <c r="I322" s="5" t="n">
        <v>46283</v>
      </c>
      <c r="J322" s="3"/>
      <c r="K322" s="3"/>
      <c r="L322" s="3"/>
      <c r="M322" s="3"/>
      <c r="N322" s="3"/>
      <c r="O322" s="3" t="s">
        <v>67</v>
      </c>
      <c r="P322" s="6" t="s">
        <v>60</v>
      </c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 t="n">
        <v>27</v>
      </c>
      <c r="AC322" s="3" t="n">
        <v>1</v>
      </c>
      <c r="AD322" s="6" t="s">
        <v>46</v>
      </c>
      <c r="AE322" s="3" t="s">
        <v>66</v>
      </c>
      <c r="AF322" s="3"/>
      <c r="AG322" s="3"/>
      <c r="AH322" s="6" t="s">
        <v>46</v>
      </c>
      <c r="AI322" s="3"/>
      <c r="AJ322" s="3"/>
      <c r="AK322" s="3"/>
      <c r="AL322" s="7" t="n">
        <f aca="false">IF(A322="","",IF(COUNTIF(A322:A$2001,A322)=1,1,0))</f>
        <v>1</v>
      </c>
      <c r="AM322" s="7" t="n">
        <f aca="true">IF(I322="","",TODAY()-I322)</f>
        <v>7</v>
      </c>
      <c r="AN322" s="7" t="n">
        <f aca="false">IF(A322="","",IF(AND(E322&lt;&gt;"33 確認済",E322&lt;&gt;"36 送付中"),1,0))</f>
        <v>1</v>
      </c>
      <c r="AO322" s="7" t="n">
        <f aca="false">IF(A322="","",IF(AG322&lt;&gt;"",1,0))</f>
        <v>0</v>
      </c>
    </row>
    <row r="323" customFormat="false" ht="15" hidden="false" customHeight="false" outlineLevel="0" collapsed="false">
      <c r="A323" s="3" t="n">
        <v>202660001484</v>
      </c>
      <c r="B323" s="3"/>
      <c r="C323" s="3"/>
      <c r="D323" s="3" t="n">
        <v>20</v>
      </c>
      <c r="E323" s="3" t="s">
        <v>69</v>
      </c>
      <c r="F323" s="3"/>
      <c r="G323" s="3"/>
      <c r="H323" s="4" t="n">
        <v>46185</v>
      </c>
      <c r="I323" s="5" t="n">
        <v>46283</v>
      </c>
      <c r="J323" s="3"/>
      <c r="K323" s="3"/>
      <c r="L323" s="3"/>
      <c r="M323" s="3"/>
      <c r="N323" s="3"/>
      <c r="O323" s="3" t="s">
        <v>67</v>
      </c>
      <c r="P323" s="6" t="s">
        <v>60</v>
      </c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 t="n">
        <v>26</v>
      </c>
      <c r="AC323" s="3" t="n">
        <v>1</v>
      </c>
      <c r="AD323" s="6" t="s">
        <v>46</v>
      </c>
      <c r="AE323" s="3" t="s">
        <v>57</v>
      </c>
      <c r="AF323" s="6" t="s">
        <v>46</v>
      </c>
      <c r="AG323" s="6" t="s">
        <v>46</v>
      </c>
      <c r="AH323" s="6" t="s">
        <v>46</v>
      </c>
      <c r="AI323" s="3"/>
      <c r="AJ323" s="3"/>
      <c r="AK323" s="3"/>
      <c r="AL323" s="7" t="n">
        <f aca="false">IF(A323="","",IF(COUNTIF(A323:A$2001,A323)=1,1,0))</f>
        <v>1</v>
      </c>
      <c r="AM323" s="7" t="n">
        <f aca="true">IF(I323="","",TODAY()-I323)</f>
        <v>7</v>
      </c>
      <c r="AN323" s="7" t="n">
        <f aca="false">IF(A323="","",IF(AND(E323&lt;&gt;"33 確認済",E323&lt;&gt;"36 送付中"),1,0))</f>
        <v>1</v>
      </c>
      <c r="AO323" s="7" t="n">
        <f aca="false">IF(A323="","",IF(AG323&lt;&gt;"",1,0))</f>
        <v>1</v>
      </c>
    </row>
    <row r="324" customFormat="false" ht="15" hidden="false" customHeight="false" outlineLevel="0" collapsed="false">
      <c r="A324" s="3" t="n">
        <v>202660001485</v>
      </c>
      <c r="B324" s="3"/>
      <c r="C324" s="3"/>
      <c r="D324" s="3" t="n">
        <v>20</v>
      </c>
      <c r="E324" s="3" t="s">
        <v>69</v>
      </c>
      <c r="F324" s="3"/>
      <c r="G324" s="3"/>
      <c r="H324" s="4" t="n">
        <v>46271</v>
      </c>
      <c r="I324" s="5" t="n">
        <v>46283</v>
      </c>
      <c r="J324" s="3"/>
      <c r="K324" s="3"/>
      <c r="L324" s="3"/>
      <c r="M324" s="3"/>
      <c r="N324" s="3"/>
      <c r="O324" s="3" t="s">
        <v>67</v>
      </c>
      <c r="P324" s="6" t="s">
        <v>60</v>
      </c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 t="n">
        <v>21</v>
      </c>
      <c r="AC324" s="3" t="n">
        <v>1</v>
      </c>
      <c r="AD324" s="6" t="s">
        <v>46</v>
      </c>
      <c r="AE324" s="3" t="s">
        <v>55</v>
      </c>
      <c r="AF324" s="6" t="s">
        <v>46</v>
      </c>
      <c r="AG324" s="6" t="s">
        <v>46</v>
      </c>
      <c r="AH324" s="6" t="s">
        <v>46</v>
      </c>
      <c r="AI324" s="3"/>
      <c r="AJ324" s="3"/>
      <c r="AK324" s="3"/>
      <c r="AL324" s="7" t="n">
        <f aca="false">IF(A324="","",IF(COUNTIF(A324:A$2001,A324)=1,1,0))</f>
        <v>1</v>
      </c>
      <c r="AM324" s="7" t="n">
        <f aca="true">IF(I324="","",TODAY()-I324)</f>
        <v>7</v>
      </c>
      <c r="AN324" s="7" t="n">
        <f aca="false">IF(A324="","",IF(AND(E324&lt;&gt;"33 確認済",E324&lt;&gt;"36 送付中"),1,0))</f>
        <v>1</v>
      </c>
      <c r="AO324" s="7" t="n">
        <f aca="false">IF(A324="","",IF(AG324&lt;&gt;"",1,0))</f>
        <v>1</v>
      </c>
    </row>
    <row r="325" customFormat="false" ht="15" hidden="false" customHeight="false" outlineLevel="0" collapsed="false">
      <c r="A325" s="3" t="n">
        <v>202660001486</v>
      </c>
      <c r="B325" s="3"/>
      <c r="C325" s="3"/>
      <c r="D325" s="3" t="n">
        <v>20</v>
      </c>
      <c r="E325" s="3" t="s">
        <v>69</v>
      </c>
      <c r="F325" s="3"/>
      <c r="G325" s="3"/>
      <c r="H325" s="4" t="n">
        <v>46169</v>
      </c>
      <c r="I325" s="5" t="n">
        <v>46283</v>
      </c>
      <c r="J325" s="3"/>
      <c r="K325" s="3"/>
      <c r="L325" s="3"/>
      <c r="M325" s="3"/>
      <c r="N325" s="3"/>
      <c r="O325" s="3" t="s">
        <v>81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 t="n">
        <v>28</v>
      </c>
      <c r="AC325" s="3" t="n">
        <v>3</v>
      </c>
      <c r="AD325" s="6" t="s">
        <v>43</v>
      </c>
      <c r="AE325" s="3"/>
      <c r="AF325" s="3"/>
      <c r="AG325" s="3"/>
      <c r="AH325" s="6" t="s">
        <v>46</v>
      </c>
      <c r="AI325" s="3"/>
      <c r="AJ325" s="3"/>
      <c r="AK325" s="3"/>
      <c r="AL325" s="7" t="n">
        <f aca="false">IF(A325="","",IF(COUNTIF(A325:A$2001,A325)=1,1,0))</f>
        <v>1</v>
      </c>
      <c r="AM325" s="7" t="n">
        <f aca="true">IF(I325="","",TODAY()-I325)</f>
        <v>7</v>
      </c>
      <c r="AN325" s="7" t="n">
        <f aca="false">IF(A325="","",IF(AND(E325&lt;&gt;"33 確認済",E325&lt;&gt;"36 送付中"),1,0))</f>
        <v>1</v>
      </c>
      <c r="AO325" s="7" t="n">
        <f aca="false">IF(A325="","",IF(AG325&lt;&gt;"",1,0))</f>
        <v>0</v>
      </c>
    </row>
    <row r="326" customFormat="false" ht="15" hidden="false" customHeight="false" outlineLevel="0" collapsed="false">
      <c r="A326" s="3" t="n">
        <v>202660001487</v>
      </c>
      <c r="B326" s="3"/>
      <c r="C326" s="3"/>
      <c r="D326" s="3" t="n">
        <v>30</v>
      </c>
      <c r="E326" s="3" t="s">
        <v>93</v>
      </c>
      <c r="F326" s="3"/>
      <c r="G326" s="3"/>
      <c r="H326" s="4" t="n">
        <v>46161</v>
      </c>
      <c r="I326" s="5" t="n">
        <v>46283</v>
      </c>
      <c r="J326" s="4" t="n">
        <v>46289</v>
      </c>
      <c r="K326" s="3"/>
      <c r="L326" s="3"/>
      <c r="M326" s="3"/>
      <c r="N326" s="3"/>
      <c r="O326" s="3" t="s">
        <v>94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 t="n">
        <v>3</v>
      </c>
      <c r="AC326" s="3" t="n">
        <v>0</v>
      </c>
      <c r="AD326" s="6" t="s">
        <v>43</v>
      </c>
      <c r="AE326" s="3" t="s">
        <v>73</v>
      </c>
      <c r="AF326" s="3"/>
      <c r="AG326" s="3"/>
      <c r="AH326" s="3"/>
      <c r="AI326" s="3"/>
      <c r="AJ326" s="3"/>
      <c r="AK326" s="3"/>
      <c r="AL326" s="7" t="n">
        <f aca="false">IF(A326="","",IF(COUNTIF(A326:A$2001,A326)=1,1,0))</f>
        <v>1</v>
      </c>
      <c r="AM326" s="7" t="n">
        <f aca="true">IF(I326="","",TODAY()-I326)</f>
        <v>7</v>
      </c>
      <c r="AN326" s="7" t="n">
        <f aca="false">IF(A326="","",IF(AND(E326&lt;&gt;"33 確認済",E326&lt;&gt;"36 送付中"),1,0))</f>
        <v>1</v>
      </c>
      <c r="AO326" s="7" t="n">
        <f aca="false">IF(A326="","",IF(AG326&lt;&gt;"",1,0))</f>
        <v>0</v>
      </c>
    </row>
    <row r="327" customFormat="false" ht="15" hidden="false" customHeight="false" outlineLevel="0" collapsed="false">
      <c r="A327" s="3" t="n">
        <v>202660001488</v>
      </c>
      <c r="B327" s="3"/>
      <c r="C327" s="3"/>
      <c r="D327" s="3" t="n">
        <v>20</v>
      </c>
      <c r="E327" s="3" t="s">
        <v>69</v>
      </c>
      <c r="F327" s="3"/>
      <c r="G327" s="3"/>
      <c r="H327" s="4" t="n">
        <v>46273</v>
      </c>
      <c r="I327" s="5" t="n">
        <v>46289</v>
      </c>
      <c r="J327" s="3"/>
      <c r="K327" s="3"/>
      <c r="L327" s="3"/>
      <c r="M327" s="3"/>
      <c r="N327" s="3"/>
      <c r="O327" s="3" t="s">
        <v>81</v>
      </c>
      <c r="P327" s="6" t="s">
        <v>60</v>
      </c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 t="n">
        <v>24</v>
      </c>
      <c r="AC327" s="3" t="n">
        <v>1</v>
      </c>
      <c r="AD327" s="6" t="s">
        <v>46</v>
      </c>
      <c r="AE327" s="3" t="s">
        <v>91</v>
      </c>
      <c r="AF327" s="6" t="s">
        <v>46</v>
      </c>
      <c r="AG327" s="6" t="s">
        <v>46</v>
      </c>
      <c r="AH327" s="3"/>
      <c r="AI327" s="3"/>
      <c r="AJ327" s="3"/>
      <c r="AK327" s="3"/>
      <c r="AL327" s="7" t="n">
        <f aca="false">IF(A327="","",IF(COUNTIF(A327:A$2001,A327)=1,1,0))</f>
        <v>1</v>
      </c>
      <c r="AM327" s="7" t="n">
        <f aca="true">IF(I327="","",TODAY()-I327)</f>
        <v>1</v>
      </c>
      <c r="AN327" s="7" t="n">
        <f aca="false">IF(A327="","",IF(AND(E327&lt;&gt;"33 確認済",E327&lt;&gt;"36 送付中"),1,0))</f>
        <v>1</v>
      </c>
      <c r="AO327" s="7" t="n">
        <f aca="false">IF(A327="","",IF(AG327&lt;&gt;"",1,0))</f>
        <v>1</v>
      </c>
    </row>
    <row r="328" customFormat="false" ht="15" hidden="false" customHeight="false" outlineLevel="0" collapsed="false">
      <c r="A328" s="3" t="n">
        <v>202660001489</v>
      </c>
      <c r="B328" s="3"/>
      <c r="C328" s="3"/>
      <c r="D328" s="3" t="n">
        <v>20</v>
      </c>
      <c r="E328" s="3" t="s">
        <v>69</v>
      </c>
      <c r="F328" s="3"/>
      <c r="G328" s="3"/>
      <c r="H328" s="4" t="n">
        <v>46276</v>
      </c>
      <c r="I328" s="5" t="n">
        <v>46283</v>
      </c>
      <c r="J328" s="3"/>
      <c r="K328" s="3"/>
      <c r="L328" s="3"/>
      <c r="M328" s="3"/>
      <c r="N328" s="3"/>
      <c r="O328" s="3" t="s">
        <v>81</v>
      </c>
      <c r="P328" s="6" t="s">
        <v>60</v>
      </c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 t="n">
        <v>21</v>
      </c>
      <c r="AC328" s="3" t="n">
        <v>1</v>
      </c>
      <c r="AD328" s="6" t="s">
        <v>46</v>
      </c>
      <c r="AE328" s="3" t="s">
        <v>55</v>
      </c>
      <c r="AF328" s="6" t="s">
        <v>46</v>
      </c>
      <c r="AG328" s="6" t="s">
        <v>46</v>
      </c>
      <c r="AH328" s="6" t="s">
        <v>46</v>
      </c>
      <c r="AI328" s="3"/>
      <c r="AJ328" s="3"/>
      <c r="AK328" s="3"/>
      <c r="AL328" s="7" t="n">
        <f aca="false">IF(A328="","",IF(COUNTIF(A328:A$2001,A328)=1,1,0))</f>
        <v>1</v>
      </c>
      <c r="AM328" s="7" t="n">
        <f aca="true">IF(I328="","",TODAY()-I328)</f>
        <v>7</v>
      </c>
      <c r="AN328" s="7" t="n">
        <f aca="false">IF(A328="","",IF(AND(E328&lt;&gt;"33 確認済",E328&lt;&gt;"36 送付中"),1,0))</f>
        <v>1</v>
      </c>
      <c r="AO328" s="7" t="n">
        <f aca="false">IF(A328="","",IF(AG328&lt;&gt;"",1,0))</f>
        <v>1</v>
      </c>
    </row>
    <row r="329" customFormat="false" ht="15" hidden="false" customHeight="false" outlineLevel="0" collapsed="false">
      <c r="A329" s="3" t="n">
        <v>202660001491</v>
      </c>
      <c r="B329" s="3"/>
      <c r="C329" s="3"/>
      <c r="D329" s="3" t="n">
        <v>20</v>
      </c>
      <c r="E329" s="3" t="s">
        <v>69</v>
      </c>
      <c r="F329" s="3"/>
      <c r="G329" s="3"/>
      <c r="H329" s="4" t="n">
        <v>46283</v>
      </c>
      <c r="I329" s="5" t="n">
        <v>46283</v>
      </c>
      <c r="J329" s="3"/>
      <c r="K329" s="3"/>
      <c r="L329" s="3"/>
      <c r="M329" s="3"/>
      <c r="N329" s="3"/>
      <c r="O329" s="3" t="s">
        <v>67</v>
      </c>
      <c r="P329" s="6" t="s">
        <v>60</v>
      </c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 t="n">
        <v>25</v>
      </c>
      <c r="AC329" s="3" t="n">
        <v>1</v>
      </c>
      <c r="AD329" s="6" t="s">
        <v>46</v>
      </c>
      <c r="AE329" s="3" t="s">
        <v>54</v>
      </c>
      <c r="AF329" s="3"/>
      <c r="AG329" s="3"/>
      <c r="AH329" s="6" t="s">
        <v>46</v>
      </c>
      <c r="AI329" s="3"/>
      <c r="AJ329" s="3"/>
      <c r="AK329" s="3"/>
      <c r="AL329" s="7" t="n">
        <f aca="false">IF(A329="","",IF(COUNTIF(A329:A$2001,A329)=1,1,0))</f>
        <v>1</v>
      </c>
      <c r="AM329" s="7" t="n">
        <f aca="true">IF(I329="","",TODAY()-I329)</f>
        <v>7</v>
      </c>
      <c r="AN329" s="7" t="n">
        <f aca="false">IF(A329="","",IF(AND(E329&lt;&gt;"33 確認済",E329&lt;&gt;"36 送付中"),1,0))</f>
        <v>1</v>
      </c>
      <c r="AO329" s="7" t="n">
        <f aca="false">IF(A329="","",IF(AG329&lt;&gt;"",1,0))</f>
        <v>0</v>
      </c>
    </row>
    <row r="330" customFormat="false" ht="15" hidden="false" customHeight="false" outlineLevel="0" collapsed="false">
      <c r="A330" s="3" t="n">
        <v>202660001492</v>
      </c>
      <c r="B330" s="3"/>
      <c r="C330" s="3"/>
      <c r="D330" s="3" t="n">
        <v>20</v>
      </c>
      <c r="E330" s="3" t="s">
        <v>69</v>
      </c>
      <c r="F330" s="3"/>
      <c r="G330" s="3"/>
      <c r="H330" s="4" t="n">
        <v>46279</v>
      </c>
      <c r="I330" s="5" t="n">
        <v>46285</v>
      </c>
      <c r="J330" s="3"/>
      <c r="K330" s="3"/>
      <c r="L330" s="3"/>
      <c r="M330" s="3"/>
      <c r="N330" s="3"/>
      <c r="O330" s="3" t="s">
        <v>67</v>
      </c>
      <c r="P330" s="6" t="s">
        <v>60</v>
      </c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 t="n">
        <v>30</v>
      </c>
      <c r="AC330" s="3" t="n">
        <v>1</v>
      </c>
      <c r="AD330" s="6" t="s">
        <v>46</v>
      </c>
      <c r="AE330" s="3" t="s">
        <v>100</v>
      </c>
      <c r="AF330" s="6" t="s">
        <v>46</v>
      </c>
      <c r="AG330" s="6" t="s">
        <v>46</v>
      </c>
      <c r="AH330" s="6" t="s">
        <v>46</v>
      </c>
      <c r="AI330" s="3"/>
      <c r="AJ330" s="3"/>
      <c r="AK330" s="3"/>
      <c r="AL330" s="7" t="n">
        <f aca="false">IF(A330="","",IF(COUNTIF(A330:A$2001,A330)=1,1,0))</f>
        <v>1</v>
      </c>
      <c r="AM330" s="7" t="n">
        <f aca="true">IF(I330="","",TODAY()-I330)</f>
        <v>5</v>
      </c>
      <c r="AN330" s="7" t="n">
        <f aca="false">IF(A330="","",IF(AND(E330&lt;&gt;"33 確認済",E330&lt;&gt;"36 送付中"),1,0))</f>
        <v>1</v>
      </c>
      <c r="AO330" s="7" t="n">
        <f aca="false">IF(A330="","",IF(AG330&lt;&gt;"",1,0))</f>
        <v>1</v>
      </c>
    </row>
    <row r="331" customFormat="false" ht="15" hidden="false" customHeight="false" outlineLevel="0" collapsed="false">
      <c r="A331" s="3" t="n">
        <v>202660001494</v>
      </c>
      <c r="B331" s="3"/>
      <c r="C331" s="3"/>
      <c r="D331" s="3" t="n">
        <v>30</v>
      </c>
      <c r="E331" s="3" t="s">
        <v>93</v>
      </c>
      <c r="F331" s="3"/>
      <c r="G331" s="3"/>
      <c r="H331" s="4" t="n">
        <v>46023</v>
      </c>
      <c r="I331" s="5" t="n">
        <v>46286</v>
      </c>
      <c r="J331" s="4" t="n">
        <v>46289</v>
      </c>
      <c r="K331" s="3"/>
      <c r="L331" s="3"/>
      <c r="M331" s="3"/>
      <c r="N331" s="3"/>
      <c r="O331" s="3" t="s">
        <v>94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 t="n">
        <v>51</v>
      </c>
      <c r="AC331" s="3" t="n">
        <v>0</v>
      </c>
      <c r="AD331" s="6" t="s">
        <v>43</v>
      </c>
      <c r="AE331" s="3" t="s">
        <v>72</v>
      </c>
      <c r="AF331" s="3"/>
      <c r="AG331" s="3"/>
      <c r="AH331" s="6" t="s">
        <v>43</v>
      </c>
      <c r="AI331" s="3"/>
      <c r="AJ331" s="3"/>
      <c r="AK331" s="3"/>
      <c r="AL331" s="7" t="n">
        <f aca="false">IF(A331="","",IF(COUNTIF(A331:A$2001,A331)=1,1,0))</f>
        <v>1</v>
      </c>
      <c r="AM331" s="7" t="n">
        <f aca="true">IF(I331="","",TODAY()-I331)</f>
        <v>4</v>
      </c>
      <c r="AN331" s="7" t="n">
        <f aca="false">IF(A331="","",IF(AND(E331&lt;&gt;"33 確認済",E331&lt;&gt;"36 送付中"),1,0))</f>
        <v>1</v>
      </c>
      <c r="AO331" s="7" t="n">
        <f aca="false">IF(A331="","",IF(AG331&lt;&gt;"",1,0))</f>
        <v>0</v>
      </c>
    </row>
    <row r="332" customFormat="false" ht="15" hidden="false" customHeight="false" outlineLevel="0" collapsed="false">
      <c r="A332" s="3" t="n">
        <v>202660001495</v>
      </c>
      <c r="B332" s="3"/>
      <c r="C332" s="3"/>
      <c r="D332" s="3" t="n">
        <v>20</v>
      </c>
      <c r="E332" s="3" t="s">
        <v>69</v>
      </c>
      <c r="F332" s="3"/>
      <c r="G332" s="3"/>
      <c r="H332" s="4" t="n">
        <v>46073</v>
      </c>
      <c r="I332" s="5" t="n">
        <v>46287</v>
      </c>
      <c r="J332" s="3"/>
      <c r="K332" s="3"/>
      <c r="L332" s="3"/>
      <c r="M332" s="3"/>
      <c r="N332" s="3"/>
      <c r="O332" s="3" t="s">
        <v>81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 t="n">
        <v>28</v>
      </c>
      <c r="AC332" s="3" t="n">
        <v>1</v>
      </c>
      <c r="AD332" s="6" t="s">
        <v>46</v>
      </c>
      <c r="AE332" s="3" t="s">
        <v>97</v>
      </c>
      <c r="AF332" s="3"/>
      <c r="AG332" s="3"/>
      <c r="AH332" s="6" t="s">
        <v>46</v>
      </c>
      <c r="AI332" s="3"/>
      <c r="AJ332" s="3"/>
      <c r="AK332" s="3"/>
      <c r="AL332" s="7" t="n">
        <f aca="false">IF(A332="","",IF(COUNTIF(A332:A$2001,A332)=1,1,0))</f>
        <v>1</v>
      </c>
      <c r="AM332" s="7" t="n">
        <f aca="true">IF(I332="","",TODAY()-I332)</f>
        <v>3</v>
      </c>
      <c r="AN332" s="7" t="n">
        <f aca="false">IF(A332="","",IF(AND(E332&lt;&gt;"33 確認済",E332&lt;&gt;"36 送付中"),1,0))</f>
        <v>1</v>
      </c>
      <c r="AO332" s="7" t="n">
        <f aca="false">IF(A332="","",IF(AG332&lt;&gt;"",1,0))</f>
        <v>0</v>
      </c>
    </row>
    <row r="333" customFormat="false" ht="15" hidden="false" customHeight="false" outlineLevel="0" collapsed="false">
      <c r="A333" s="3" t="n">
        <v>202660001496</v>
      </c>
      <c r="B333" s="3"/>
      <c r="C333" s="3"/>
      <c r="D333" s="3" t="n">
        <v>30</v>
      </c>
      <c r="E333" s="3" t="s">
        <v>93</v>
      </c>
      <c r="F333" s="3"/>
      <c r="G333" s="3"/>
      <c r="H333" s="4" t="n">
        <v>46064</v>
      </c>
      <c r="I333" s="5" t="n">
        <v>46287</v>
      </c>
      <c r="J333" s="4" t="n">
        <v>46289</v>
      </c>
      <c r="K333" s="3"/>
      <c r="L333" s="3"/>
      <c r="M333" s="3"/>
      <c r="N333" s="3"/>
      <c r="O333" s="3" t="s">
        <v>94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 t="n">
        <v>23</v>
      </c>
      <c r="AC333" s="3" t="n">
        <v>1</v>
      </c>
      <c r="AD333" s="6" t="s">
        <v>46</v>
      </c>
      <c r="AE333" s="3" t="s">
        <v>52</v>
      </c>
      <c r="AF333" s="3"/>
      <c r="AG333" s="3"/>
      <c r="AH333" s="3"/>
      <c r="AI333" s="3"/>
      <c r="AJ333" s="3"/>
      <c r="AK333" s="3"/>
      <c r="AL333" s="7" t="n">
        <f aca="false">IF(A333="","",IF(COUNTIF(A333:A$2001,A333)=1,1,0))</f>
        <v>0</v>
      </c>
      <c r="AM333" s="7" t="n">
        <f aca="true">IF(I333="","",TODAY()-I333)</f>
        <v>3</v>
      </c>
      <c r="AN333" s="7" t="n">
        <f aca="false">IF(A333="","",IF(AND(E333&lt;&gt;"33 確認済",E333&lt;&gt;"36 送付中"),1,0))</f>
        <v>1</v>
      </c>
      <c r="AO333" s="7" t="n">
        <f aca="false">IF(A333="","",IF(AG333&lt;&gt;"",1,0))</f>
        <v>0</v>
      </c>
    </row>
    <row r="334" customFormat="false" ht="15" hidden="false" customHeight="false" outlineLevel="0" collapsed="false">
      <c r="A334" s="3" t="n">
        <v>202660001496</v>
      </c>
      <c r="B334" s="3"/>
      <c r="C334" s="3"/>
      <c r="D334" s="3" t="n">
        <v>30</v>
      </c>
      <c r="E334" s="3" t="s">
        <v>93</v>
      </c>
      <c r="F334" s="3"/>
      <c r="G334" s="3"/>
      <c r="H334" s="4" t="n">
        <v>46064</v>
      </c>
      <c r="I334" s="5" t="n">
        <v>46287</v>
      </c>
      <c r="J334" s="4" t="n">
        <v>46289</v>
      </c>
      <c r="K334" s="3"/>
      <c r="L334" s="3"/>
      <c r="M334" s="3"/>
      <c r="N334" s="3"/>
      <c r="O334" s="3" t="s">
        <v>94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 t="n">
        <v>23</v>
      </c>
      <c r="AC334" s="3" t="n">
        <v>1</v>
      </c>
      <c r="AD334" s="6" t="s">
        <v>46</v>
      </c>
      <c r="AE334" s="3" t="s">
        <v>53</v>
      </c>
      <c r="AF334" s="3"/>
      <c r="AG334" s="3"/>
      <c r="AH334" s="3"/>
      <c r="AI334" s="3"/>
      <c r="AJ334" s="3"/>
      <c r="AK334" s="3"/>
      <c r="AL334" s="7" t="n">
        <f aca="false">IF(A334="","",IF(COUNTIF(A334:A$2001,A334)=1,1,0))</f>
        <v>1</v>
      </c>
      <c r="AM334" s="7" t="n">
        <f aca="true">IF(I334="","",TODAY()-I334)</f>
        <v>3</v>
      </c>
      <c r="AN334" s="7" t="n">
        <f aca="false">IF(A334="","",IF(AND(E334&lt;&gt;"33 確認済",E334&lt;&gt;"36 送付中"),1,0))</f>
        <v>1</v>
      </c>
      <c r="AO334" s="7" t="n">
        <f aca="false">IF(A334="","",IF(AG334&lt;&gt;"",1,0))</f>
        <v>0</v>
      </c>
    </row>
    <row r="335" customFormat="false" ht="15" hidden="false" customHeight="false" outlineLevel="0" collapsed="false">
      <c r="A335" s="3" t="n">
        <v>202660001497</v>
      </c>
      <c r="B335" s="3"/>
      <c r="C335" s="3"/>
      <c r="D335" s="3" t="n">
        <v>20</v>
      </c>
      <c r="E335" s="3" t="s">
        <v>69</v>
      </c>
      <c r="F335" s="3"/>
      <c r="G335" s="3"/>
      <c r="H335" s="3"/>
      <c r="I335" s="5" t="n">
        <v>46287</v>
      </c>
      <c r="J335" s="3"/>
      <c r="K335" s="3"/>
      <c r="L335" s="3"/>
      <c r="M335" s="3"/>
      <c r="N335" s="3"/>
      <c r="O335" s="3" t="s">
        <v>81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6" t="s">
        <v>43</v>
      </c>
      <c r="AE335" s="3"/>
      <c r="AF335" s="3"/>
      <c r="AG335" s="3"/>
      <c r="AH335" s="3"/>
      <c r="AI335" s="3"/>
      <c r="AJ335" s="6" t="s">
        <v>80</v>
      </c>
      <c r="AK335" s="3"/>
      <c r="AL335" s="7" t="n">
        <f aca="false">IF(A335="","",IF(COUNTIF(A335:A$2001,A335)=1,1,0))</f>
        <v>1</v>
      </c>
      <c r="AM335" s="7" t="n">
        <f aca="true">IF(I335="","",TODAY()-I335)</f>
        <v>3</v>
      </c>
      <c r="AN335" s="7" t="n">
        <f aca="false">IF(A335="","",IF(AND(E335&lt;&gt;"33 確認済",E335&lt;&gt;"36 送付中"),1,0))</f>
        <v>1</v>
      </c>
      <c r="AO335" s="7" t="n">
        <f aca="false">IF(A335="","",IF(AG335&lt;&gt;"",1,0))</f>
        <v>0</v>
      </c>
    </row>
    <row r="336" customFormat="false" ht="15" hidden="false" customHeight="false" outlineLevel="0" collapsed="false">
      <c r="A336" s="3" t="n">
        <v>202660001499</v>
      </c>
      <c r="B336" s="3"/>
      <c r="C336" s="3"/>
      <c r="D336" s="3" t="n">
        <v>30</v>
      </c>
      <c r="E336" s="3" t="s">
        <v>93</v>
      </c>
      <c r="F336" s="3"/>
      <c r="G336" s="3"/>
      <c r="H336" s="4" t="n">
        <v>46113</v>
      </c>
      <c r="I336" s="5" t="n">
        <v>46288</v>
      </c>
      <c r="J336" s="4" t="n">
        <v>46289</v>
      </c>
      <c r="K336" s="3"/>
      <c r="L336" s="3"/>
      <c r="M336" s="3"/>
      <c r="N336" s="3"/>
      <c r="O336" s="3" t="s">
        <v>94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 t="n">
        <v>3</v>
      </c>
      <c r="AC336" s="3" t="n">
        <v>0</v>
      </c>
      <c r="AD336" s="6" t="s">
        <v>43</v>
      </c>
      <c r="AE336" s="3" t="s">
        <v>73</v>
      </c>
      <c r="AF336" s="3"/>
      <c r="AG336" s="3"/>
      <c r="AH336" s="3"/>
      <c r="AI336" s="3"/>
      <c r="AJ336" s="3"/>
      <c r="AK336" s="3"/>
      <c r="AL336" s="7" t="n">
        <f aca="false">IF(A336="","",IF(COUNTIF(A336:A$2001,A336)=1,1,0))</f>
        <v>1</v>
      </c>
      <c r="AM336" s="7" t="n">
        <f aca="true">IF(I336="","",TODAY()-I336)</f>
        <v>2</v>
      </c>
      <c r="AN336" s="7" t="n">
        <f aca="false">IF(A336="","",IF(AND(E336&lt;&gt;"33 確認済",E336&lt;&gt;"36 送付中"),1,0))</f>
        <v>1</v>
      </c>
      <c r="AO336" s="7" t="n">
        <f aca="false">IF(A336="","",IF(AG336&lt;&gt;"",1,0))</f>
        <v>0</v>
      </c>
    </row>
    <row r="337" customFormat="false" ht="15" hidden="false" customHeight="false" outlineLevel="0" collapsed="false">
      <c r="A337" s="3" t="n">
        <v>202660001502</v>
      </c>
      <c r="B337" s="3"/>
      <c r="C337" s="3"/>
      <c r="D337" s="3" t="n">
        <v>30</v>
      </c>
      <c r="E337" s="3" t="s">
        <v>93</v>
      </c>
      <c r="F337" s="3"/>
      <c r="G337" s="3"/>
      <c r="H337" s="4" t="n">
        <v>46143</v>
      </c>
      <c r="I337" s="5" t="n">
        <v>46289</v>
      </c>
      <c r="J337" s="4" t="n">
        <v>46289</v>
      </c>
      <c r="K337" s="3"/>
      <c r="L337" s="3"/>
      <c r="M337" s="3"/>
      <c r="N337" s="3"/>
      <c r="O337" s="3" t="s">
        <v>94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 t="n">
        <v>49</v>
      </c>
      <c r="AC337" s="3" t="n">
        <v>0</v>
      </c>
      <c r="AD337" s="6" t="s">
        <v>43</v>
      </c>
      <c r="AE337" s="3" t="s">
        <v>83</v>
      </c>
      <c r="AF337" s="3"/>
      <c r="AG337" s="3"/>
      <c r="AH337" s="3"/>
      <c r="AI337" s="3"/>
      <c r="AJ337" s="3"/>
      <c r="AK337" s="3"/>
      <c r="AL337" s="7" t="n">
        <f aca="false">IF(A337="","",IF(COUNTIF(A337:A$2001,A337)=1,1,0))</f>
        <v>1</v>
      </c>
      <c r="AM337" s="7" t="n">
        <f aca="true">IF(I337="","",TODAY()-I337)</f>
        <v>1</v>
      </c>
      <c r="AN337" s="7" t="n">
        <f aca="false">IF(A337="","",IF(AND(E337&lt;&gt;"33 確認済",E337&lt;&gt;"36 送付中"),1,0))</f>
        <v>1</v>
      </c>
      <c r="AO337" s="7" t="n">
        <f aca="false">IF(A337="","",IF(AG337&lt;&gt;"",1,0))</f>
        <v>0</v>
      </c>
    </row>
    <row r="338" customFormat="false" ht="15" hidden="false" customHeight="false" outlineLevel="0" collapsed="false">
      <c r="A338" s="3" t="n">
        <v>202660001503</v>
      </c>
      <c r="B338" s="3"/>
      <c r="C338" s="3"/>
      <c r="D338" s="3" t="n">
        <v>20</v>
      </c>
      <c r="E338" s="3" t="s">
        <v>69</v>
      </c>
      <c r="F338" s="3"/>
      <c r="G338" s="3"/>
      <c r="H338" s="4" t="n">
        <v>46023</v>
      </c>
      <c r="I338" s="5" t="n">
        <v>46289</v>
      </c>
      <c r="J338" s="3"/>
      <c r="K338" s="3"/>
      <c r="L338" s="3"/>
      <c r="M338" s="3"/>
      <c r="N338" s="3"/>
      <c r="O338" s="3" t="s">
        <v>81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 t="n">
        <v>28</v>
      </c>
      <c r="AC338" s="3" t="n">
        <v>3</v>
      </c>
      <c r="AD338" s="6" t="s">
        <v>43</v>
      </c>
      <c r="AE338" s="3"/>
      <c r="AF338" s="3"/>
      <c r="AG338" s="3"/>
      <c r="AH338" s="3"/>
      <c r="AI338" s="3"/>
      <c r="AJ338" s="3"/>
      <c r="AK338" s="3"/>
      <c r="AL338" s="7" t="n">
        <f aca="false">IF(A338="","",IF(COUNTIF(A338:A$2001,A338)=1,1,0))</f>
        <v>1</v>
      </c>
      <c r="AM338" s="7" t="n">
        <f aca="true">IF(I338="","",TODAY()-I338)</f>
        <v>1</v>
      </c>
      <c r="AN338" s="7" t="n">
        <f aca="false">IF(A338="","",IF(AND(E338&lt;&gt;"33 確認済",E338&lt;&gt;"36 送付中"),1,0))</f>
        <v>1</v>
      </c>
      <c r="AO338" s="7" t="n">
        <f aca="false">IF(A338="","",IF(AG338&lt;&gt;"",1,0))</f>
        <v>0</v>
      </c>
    </row>
    <row r="339" customFormat="false" ht="15" hidden="false" customHeight="false" outlineLevel="0" collapsed="false">
      <c r="A339" s="3" t="n">
        <v>202660001504</v>
      </c>
      <c r="B339" s="3"/>
      <c r="C339" s="3"/>
      <c r="D339" s="3" t="n">
        <v>30</v>
      </c>
      <c r="E339" s="3" t="s">
        <v>93</v>
      </c>
      <c r="F339" s="3"/>
      <c r="G339" s="3"/>
      <c r="H339" s="4" t="n">
        <v>46113</v>
      </c>
      <c r="I339" s="5" t="n">
        <v>46289</v>
      </c>
      <c r="J339" s="4" t="n">
        <v>46289</v>
      </c>
      <c r="K339" s="3"/>
      <c r="L339" s="3"/>
      <c r="M339" s="3"/>
      <c r="N339" s="3"/>
      <c r="O339" s="3" t="s">
        <v>94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 t="n">
        <v>47</v>
      </c>
      <c r="AC339" s="3" t="n">
        <v>0</v>
      </c>
      <c r="AD339" s="6" t="s">
        <v>43</v>
      </c>
      <c r="AE339" s="3" t="s">
        <v>44</v>
      </c>
      <c r="AF339" s="3"/>
      <c r="AG339" s="3"/>
      <c r="AH339" s="6" t="s">
        <v>43</v>
      </c>
      <c r="AI339" s="3"/>
      <c r="AJ339" s="3"/>
      <c r="AK339" s="3"/>
      <c r="AL339" s="7" t="n">
        <f aca="false">IF(A339="","",IF(COUNTIF(A339:A$2001,A339)=1,1,0))</f>
        <v>1</v>
      </c>
      <c r="AM339" s="7" t="n">
        <f aca="true">IF(I339="","",TODAY()-I339)</f>
        <v>1</v>
      </c>
      <c r="AN339" s="7" t="n">
        <f aca="false">IF(A339="","",IF(AND(E339&lt;&gt;"33 確認済",E339&lt;&gt;"36 送付中"),1,0))</f>
        <v>1</v>
      </c>
      <c r="AO339" s="7" t="n">
        <f aca="false">IF(A339="","",IF(AG339&lt;&gt;"",1,0))</f>
        <v>0</v>
      </c>
    </row>
    <row r="340" customFormat="false" ht="15" hidden="false" customHeight="false" outlineLevel="0" collapsed="false">
      <c r="A340" s="3" t="n">
        <v>202660001505</v>
      </c>
      <c r="B340" s="3"/>
      <c r="C340" s="3"/>
      <c r="D340" s="3" t="n">
        <v>30</v>
      </c>
      <c r="E340" s="3" t="s">
        <v>93</v>
      </c>
      <c r="F340" s="3"/>
      <c r="G340" s="3"/>
      <c r="H340" s="4" t="n">
        <v>46179</v>
      </c>
      <c r="I340" s="5" t="n">
        <v>46289</v>
      </c>
      <c r="J340" s="4" t="n">
        <v>46289</v>
      </c>
      <c r="K340" s="3"/>
      <c r="L340" s="3"/>
      <c r="M340" s="3"/>
      <c r="N340" s="3"/>
      <c r="O340" s="3" t="s">
        <v>94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 t="n">
        <v>23</v>
      </c>
      <c r="AC340" s="3" t="n">
        <v>1</v>
      </c>
      <c r="AD340" s="6" t="s">
        <v>46</v>
      </c>
      <c r="AE340" s="3" t="s">
        <v>52</v>
      </c>
      <c r="AF340" s="3"/>
      <c r="AG340" s="3"/>
      <c r="AH340" s="3"/>
      <c r="AI340" s="3"/>
      <c r="AJ340" s="3"/>
      <c r="AK340" s="3"/>
      <c r="AL340" s="7" t="n">
        <f aca="false">IF(A340="","",IF(COUNTIF(A340:A$2001,A340)=1,1,0))</f>
        <v>0</v>
      </c>
      <c r="AM340" s="7" t="n">
        <f aca="true">IF(I340="","",TODAY()-I340)</f>
        <v>1</v>
      </c>
      <c r="AN340" s="7" t="n">
        <f aca="false">IF(A340="","",IF(AND(E340&lt;&gt;"33 確認済",E340&lt;&gt;"36 送付中"),1,0))</f>
        <v>1</v>
      </c>
      <c r="AO340" s="7" t="n">
        <f aca="false">IF(A340="","",IF(AG340&lt;&gt;"",1,0))</f>
        <v>0</v>
      </c>
    </row>
    <row r="341" customFormat="false" ht="15" hidden="false" customHeight="false" outlineLevel="0" collapsed="false">
      <c r="A341" s="3" t="n">
        <v>202660001505</v>
      </c>
      <c r="B341" s="3"/>
      <c r="C341" s="3"/>
      <c r="D341" s="3" t="n">
        <v>30</v>
      </c>
      <c r="E341" s="3" t="s">
        <v>93</v>
      </c>
      <c r="F341" s="3"/>
      <c r="G341" s="3"/>
      <c r="H341" s="4" t="n">
        <v>46179</v>
      </c>
      <c r="I341" s="5" t="n">
        <v>46289</v>
      </c>
      <c r="J341" s="4" t="n">
        <v>46289</v>
      </c>
      <c r="K341" s="3"/>
      <c r="L341" s="3"/>
      <c r="M341" s="3"/>
      <c r="N341" s="3"/>
      <c r="O341" s="3" t="s">
        <v>94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 t="n">
        <v>23</v>
      </c>
      <c r="AC341" s="3" t="n">
        <v>1</v>
      </c>
      <c r="AD341" s="6" t="s">
        <v>46</v>
      </c>
      <c r="AE341" s="3" t="s">
        <v>53</v>
      </c>
      <c r="AF341" s="3"/>
      <c r="AG341" s="3"/>
      <c r="AH341" s="3"/>
      <c r="AI341" s="3"/>
      <c r="AJ341" s="3"/>
      <c r="AK341" s="3"/>
      <c r="AL341" s="7" t="n">
        <f aca="false">IF(A341="","",IF(COUNTIF(A341:A$2001,A341)=1,1,0))</f>
        <v>1</v>
      </c>
      <c r="AM341" s="7" t="n">
        <f aca="true">IF(I341="","",TODAY()-I341)</f>
        <v>1</v>
      </c>
      <c r="AN341" s="7" t="n">
        <f aca="false">IF(A341="","",IF(AND(E341&lt;&gt;"33 確認済",E341&lt;&gt;"36 送付中"),1,0))</f>
        <v>1</v>
      </c>
      <c r="AO341" s="7" t="n">
        <f aca="false">IF(A341="","",IF(AG341&lt;&gt;"",1,0))</f>
        <v>0</v>
      </c>
    </row>
    <row r="342" customFormat="false" ht="15" hidden="false" customHeight="false" outlineLevel="0" collapsed="false">
      <c r="A342" s="3" t="n">
        <v>202660001507</v>
      </c>
      <c r="B342" s="3"/>
      <c r="C342" s="3"/>
      <c r="D342" s="3" t="n">
        <v>30</v>
      </c>
      <c r="E342" s="3" t="s">
        <v>93</v>
      </c>
      <c r="F342" s="3"/>
      <c r="G342" s="3"/>
      <c r="H342" s="4" t="n">
        <v>46289</v>
      </c>
      <c r="I342" s="5" t="n">
        <v>46289</v>
      </c>
      <c r="J342" s="4" t="n">
        <v>46289</v>
      </c>
      <c r="K342" s="3"/>
      <c r="L342" s="3"/>
      <c r="M342" s="3"/>
      <c r="N342" s="3"/>
      <c r="O342" s="3" t="s">
        <v>94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 t="n">
        <v>51</v>
      </c>
      <c r="AC342" s="3" t="n">
        <v>0</v>
      </c>
      <c r="AD342" s="6" t="s">
        <v>43</v>
      </c>
      <c r="AE342" s="3" t="s">
        <v>72</v>
      </c>
      <c r="AF342" s="3"/>
      <c r="AG342" s="3"/>
      <c r="AH342" s="6" t="s">
        <v>43</v>
      </c>
      <c r="AI342" s="3"/>
      <c r="AJ342" s="3"/>
      <c r="AK342" s="3"/>
      <c r="AL342" s="7" t="n">
        <f aca="false">IF(A342="","",IF(COUNTIF(A342:A$2001,A342)=1,1,0))</f>
        <v>1</v>
      </c>
      <c r="AM342" s="7" t="n">
        <f aca="true">IF(I342="","",TODAY()-I342)</f>
        <v>1</v>
      </c>
      <c r="AN342" s="7" t="n">
        <f aca="false">IF(A342="","",IF(AND(E342&lt;&gt;"33 確認済",E342&lt;&gt;"36 送付中"),1,0))</f>
        <v>1</v>
      </c>
      <c r="AO342" s="7" t="n">
        <f aca="false">IF(A342="","",IF(AG342&lt;&gt;"",1,0))</f>
        <v>0</v>
      </c>
    </row>
    <row r="343" customFormat="false" ht="15" hidden="false" customHeight="false" outlineLevel="0" collapsed="false">
      <c r="A343" s="3" t="n">
        <v>202660001508</v>
      </c>
      <c r="B343" s="3"/>
      <c r="C343" s="3"/>
      <c r="D343" s="3" t="n">
        <v>20</v>
      </c>
      <c r="E343" s="3" t="s">
        <v>69</v>
      </c>
      <c r="F343" s="3"/>
      <c r="G343" s="3"/>
      <c r="H343" s="4" t="n">
        <v>46254</v>
      </c>
      <c r="I343" s="5" t="n">
        <v>46289</v>
      </c>
      <c r="J343" s="3"/>
      <c r="K343" s="3"/>
      <c r="L343" s="3"/>
      <c r="M343" s="3"/>
      <c r="N343" s="3"/>
      <c r="O343" s="3" t="s">
        <v>81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 t="n">
        <v>28</v>
      </c>
      <c r="AC343" s="3" t="n">
        <v>3</v>
      </c>
      <c r="AD343" s="6" t="s">
        <v>43</v>
      </c>
      <c r="AE343" s="3"/>
      <c r="AF343" s="3"/>
      <c r="AG343" s="3"/>
      <c r="AH343" s="6" t="s">
        <v>46</v>
      </c>
      <c r="AI343" s="3"/>
      <c r="AJ343" s="3"/>
      <c r="AK343" s="3"/>
      <c r="AL343" s="7" t="n">
        <f aca="false">IF(A343="","",IF(COUNTIF(A343:A$2001,A343)=1,1,0))</f>
        <v>1</v>
      </c>
      <c r="AM343" s="7" t="n">
        <f aca="true">IF(I343="","",TODAY()-I343)</f>
        <v>1</v>
      </c>
      <c r="AN343" s="7" t="n">
        <f aca="false">IF(A343="","",IF(AND(E343&lt;&gt;"33 確認済",E343&lt;&gt;"36 送付中"),1,0))</f>
        <v>1</v>
      </c>
      <c r="AO343" s="7" t="n">
        <f aca="false">IF(A343="","",IF(AG343&lt;&gt;"",1,0))</f>
        <v>0</v>
      </c>
    </row>
    <row r="344" customFormat="false" ht="15" hidden="false" customHeight="false" outlineLevel="0" collapsed="false">
      <c r="A344" s="3" t="n">
        <v>202660001512</v>
      </c>
      <c r="B344" s="3"/>
      <c r="C344" s="3"/>
      <c r="D344" s="3" t="n">
        <v>30</v>
      </c>
      <c r="E344" s="3" t="s">
        <v>93</v>
      </c>
      <c r="F344" s="3"/>
      <c r="G344" s="3"/>
      <c r="H344" s="4" t="n">
        <v>46289</v>
      </c>
      <c r="I344" s="5" t="n">
        <v>46289</v>
      </c>
      <c r="J344" s="4" t="n">
        <v>46289</v>
      </c>
      <c r="K344" s="3"/>
      <c r="L344" s="3"/>
      <c r="M344" s="3"/>
      <c r="N344" s="3"/>
      <c r="O344" s="3" t="s">
        <v>94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 t="n">
        <v>49</v>
      </c>
      <c r="AC344" s="3" t="n">
        <v>0</v>
      </c>
      <c r="AD344" s="6" t="s">
        <v>43</v>
      </c>
      <c r="AE344" s="3" t="s">
        <v>83</v>
      </c>
      <c r="AF344" s="3"/>
      <c r="AG344" s="3"/>
      <c r="AH344" s="6" t="s">
        <v>43</v>
      </c>
      <c r="AI344" s="3"/>
      <c r="AJ344" s="3"/>
      <c r="AK344" s="3"/>
      <c r="AL344" s="7" t="n">
        <f aca="false">IF(A344="","",IF(COUNTIF(A344:A$2001,A344)=1,1,0))</f>
        <v>1</v>
      </c>
      <c r="AM344" s="7" t="n">
        <f aca="true">IF(I344="","",TODAY()-I344)</f>
        <v>1</v>
      </c>
      <c r="AN344" s="7" t="n">
        <f aca="false">IF(A344="","",IF(AND(E344&lt;&gt;"33 確認済",E344&lt;&gt;"36 送付中"),1,0))</f>
        <v>1</v>
      </c>
      <c r="AO344" s="7" t="n">
        <f aca="false">IF(A344="","",IF(AG344&lt;&gt;"",1,0))</f>
        <v>0</v>
      </c>
    </row>
    <row r="345" customFormat="false" ht="15" hidden="false" customHeight="false" outlineLevel="0" collapsed="false">
      <c r="A345" s="3" t="n">
        <v>202660001514</v>
      </c>
      <c r="B345" s="3"/>
      <c r="C345" s="3"/>
      <c r="D345" s="3" t="n">
        <v>30</v>
      </c>
      <c r="E345" s="3" t="s">
        <v>93</v>
      </c>
      <c r="F345" s="3"/>
      <c r="G345" s="3"/>
      <c r="H345" s="4" t="n">
        <v>46265</v>
      </c>
      <c r="I345" s="5" t="n">
        <v>46289</v>
      </c>
      <c r="J345" s="4" t="n">
        <v>46289</v>
      </c>
      <c r="K345" s="3"/>
      <c r="L345" s="3"/>
      <c r="M345" s="3"/>
      <c r="N345" s="3"/>
      <c r="O345" s="3" t="s">
        <v>94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 t="n">
        <v>23</v>
      </c>
      <c r="AC345" s="3" t="n">
        <v>1</v>
      </c>
      <c r="AD345" s="6" t="s">
        <v>46</v>
      </c>
      <c r="AE345" s="3" t="s">
        <v>52</v>
      </c>
      <c r="AF345" s="3"/>
      <c r="AG345" s="3"/>
      <c r="AH345" s="3"/>
      <c r="AI345" s="3"/>
      <c r="AJ345" s="3"/>
      <c r="AK345" s="3"/>
      <c r="AL345" s="7" t="n">
        <f aca="false">IF(A345="","",IF(COUNTIF(A345:A$2001,A345)=1,1,0))</f>
        <v>0</v>
      </c>
      <c r="AM345" s="7" t="n">
        <f aca="true">IF(I345="","",TODAY()-I345)</f>
        <v>1</v>
      </c>
      <c r="AN345" s="7" t="n">
        <f aca="false">IF(A345="","",IF(AND(E345&lt;&gt;"33 確認済",E345&lt;&gt;"36 送付中"),1,0))</f>
        <v>1</v>
      </c>
      <c r="AO345" s="7" t="n">
        <f aca="false">IF(A345="","",IF(AG345&lt;&gt;"",1,0))</f>
        <v>0</v>
      </c>
    </row>
    <row r="346" customFormat="false" ht="15" hidden="false" customHeight="false" outlineLevel="0" collapsed="false">
      <c r="A346" s="3" t="n">
        <v>202660001514</v>
      </c>
      <c r="B346" s="3"/>
      <c r="C346" s="3"/>
      <c r="D346" s="3" t="n">
        <v>30</v>
      </c>
      <c r="E346" s="3" t="s">
        <v>93</v>
      </c>
      <c r="F346" s="3"/>
      <c r="G346" s="3"/>
      <c r="H346" s="4" t="n">
        <v>46265</v>
      </c>
      <c r="I346" s="5" t="n">
        <v>46289</v>
      </c>
      <c r="J346" s="4" t="n">
        <v>46289</v>
      </c>
      <c r="K346" s="3"/>
      <c r="L346" s="3"/>
      <c r="M346" s="3"/>
      <c r="N346" s="3"/>
      <c r="O346" s="3" t="s">
        <v>94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 t="n">
        <v>23</v>
      </c>
      <c r="AC346" s="3" t="n">
        <v>1</v>
      </c>
      <c r="AD346" s="6" t="s">
        <v>46</v>
      </c>
      <c r="AE346" s="3" t="s">
        <v>53</v>
      </c>
      <c r="AF346" s="3"/>
      <c r="AG346" s="3"/>
      <c r="AH346" s="3"/>
      <c r="AI346" s="3"/>
      <c r="AJ346" s="3"/>
      <c r="AK346" s="3"/>
      <c r="AL346" s="7" t="n">
        <f aca="false">IF(A346="","",IF(COUNTIF(A346:A$2001,A346)=1,1,0))</f>
        <v>1</v>
      </c>
      <c r="AM346" s="7" t="n">
        <f aca="true">IF(I346="","",TODAY()-I346)</f>
        <v>1</v>
      </c>
      <c r="AN346" s="7" t="n">
        <f aca="false">IF(A346="","",IF(AND(E346&lt;&gt;"33 確認済",E346&lt;&gt;"36 送付中"),1,0))</f>
        <v>1</v>
      </c>
      <c r="AO346" s="7" t="n">
        <f aca="false">IF(A346="","",IF(AG346&lt;&gt;"",1,0))</f>
        <v>0</v>
      </c>
    </row>
    <row r="347" customFormat="false" ht="15" hidden="false" customHeight="false" outlineLevel="0" collapsed="false">
      <c r="A347" s="3" t="n">
        <v>202660001515</v>
      </c>
      <c r="B347" s="3"/>
      <c r="C347" s="3"/>
      <c r="D347" s="3" t="n">
        <v>30</v>
      </c>
      <c r="E347" s="3" t="s">
        <v>93</v>
      </c>
      <c r="F347" s="3"/>
      <c r="G347" s="3"/>
      <c r="H347" s="4" t="n">
        <v>46023</v>
      </c>
      <c r="I347" s="5" t="n">
        <v>46289</v>
      </c>
      <c r="J347" s="4" t="n">
        <v>46289</v>
      </c>
      <c r="K347" s="3"/>
      <c r="L347" s="3"/>
      <c r="M347" s="3"/>
      <c r="N347" s="3"/>
      <c r="O347" s="3" t="s">
        <v>94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 t="n">
        <v>51</v>
      </c>
      <c r="AC347" s="3" t="n">
        <v>0</v>
      </c>
      <c r="AD347" s="6" t="s">
        <v>43</v>
      </c>
      <c r="AE347" s="3" t="s">
        <v>72</v>
      </c>
      <c r="AF347" s="3"/>
      <c r="AG347" s="3"/>
      <c r="AH347" s="6" t="s">
        <v>43</v>
      </c>
      <c r="AI347" s="3"/>
      <c r="AJ347" s="3"/>
      <c r="AK347" s="3"/>
      <c r="AL347" s="7" t="n">
        <f aca="false">IF(A347="","",IF(COUNTIF(A347:A$2001,A347)=1,1,0))</f>
        <v>1</v>
      </c>
      <c r="AM347" s="7" t="n">
        <f aca="true">IF(I347="","",TODAY()-I347)</f>
        <v>1</v>
      </c>
      <c r="AN347" s="7" t="n">
        <f aca="false">IF(A347="","",IF(AND(E347&lt;&gt;"33 確認済",E347&lt;&gt;"36 送付中"),1,0))</f>
        <v>1</v>
      </c>
      <c r="AO347" s="7" t="n">
        <f aca="false">IF(A347="","",IF(AG347&lt;&gt;"",1,0))</f>
        <v>0</v>
      </c>
    </row>
    <row r="348" customFormat="false" ht="15" hidden="false" customHeight="false" outlineLevel="0" collapsed="false">
      <c r="A348" s="3" t="n">
        <v>202660001516</v>
      </c>
      <c r="B348" s="3"/>
      <c r="C348" s="3"/>
      <c r="D348" s="3" t="n">
        <v>30</v>
      </c>
      <c r="E348" s="3" t="s">
        <v>93</v>
      </c>
      <c r="F348" s="3"/>
      <c r="G348" s="3"/>
      <c r="H348" s="4" t="n">
        <v>46023</v>
      </c>
      <c r="I348" s="5" t="n">
        <v>46289</v>
      </c>
      <c r="J348" s="4" t="n">
        <v>46289</v>
      </c>
      <c r="K348" s="3"/>
      <c r="L348" s="3"/>
      <c r="M348" s="3"/>
      <c r="N348" s="3"/>
      <c r="O348" s="3" t="s">
        <v>94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 t="n">
        <v>23</v>
      </c>
      <c r="AC348" s="3" t="n">
        <v>1</v>
      </c>
      <c r="AD348" s="6" t="s">
        <v>46</v>
      </c>
      <c r="AE348" s="3" t="s">
        <v>52</v>
      </c>
      <c r="AF348" s="3"/>
      <c r="AG348" s="3"/>
      <c r="AH348" s="3"/>
      <c r="AI348" s="3"/>
      <c r="AJ348" s="3"/>
      <c r="AK348" s="3"/>
      <c r="AL348" s="7" t="n">
        <f aca="false">IF(A348="","",IF(COUNTIF(A348:A$2001,A348)=1,1,0))</f>
        <v>0</v>
      </c>
      <c r="AM348" s="7" t="n">
        <f aca="true">IF(I348="","",TODAY()-I348)</f>
        <v>1</v>
      </c>
      <c r="AN348" s="7" t="n">
        <f aca="false">IF(A348="","",IF(AND(E348&lt;&gt;"33 確認済",E348&lt;&gt;"36 送付中"),1,0))</f>
        <v>1</v>
      </c>
      <c r="AO348" s="7" t="n">
        <f aca="false">IF(A348="","",IF(AG348&lt;&gt;"",1,0))</f>
        <v>0</v>
      </c>
    </row>
    <row r="349" customFormat="false" ht="15" hidden="false" customHeight="false" outlineLevel="0" collapsed="false">
      <c r="A349" s="3" t="n">
        <v>202660001516</v>
      </c>
      <c r="B349" s="3"/>
      <c r="C349" s="3"/>
      <c r="D349" s="3" t="n">
        <v>30</v>
      </c>
      <c r="E349" s="3" t="s">
        <v>93</v>
      </c>
      <c r="F349" s="3"/>
      <c r="G349" s="3"/>
      <c r="H349" s="4" t="n">
        <v>46023</v>
      </c>
      <c r="I349" s="5" t="n">
        <v>46289</v>
      </c>
      <c r="J349" s="4" t="n">
        <v>46289</v>
      </c>
      <c r="K349" s="3"/>
      <c r="L349" s="3"/>
      <c r="M349" s="3"/>
      <c r="N349" s="3"/>
      <c r="O349" s="3" t="s">
        <v>94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 t="n">
        <v>23</v>
      </c>
      <c r="AC349" s="3" t="n">
        <v>1</v>
      </c>
      <c r="AD349" s="6" t="s">
        <v>46</v>
      </c>
      <c r="AE349" s="3" t="s">
        <v>53</v>
      </c>
      <c r="AF349" s="3"/>
      <c r="AG349" s="3"/>
      <c r="AH349" s="3"/>
      <c r="AI349" s="3"/>
      <c r="AJ349" s="3"/>
      <c r="AK349" s="3"/>
      <c r="AL349" s="7" t="n">
        <f aca="false">IF(A349="","",IF(COUNTIF(A349:A$2001,A349)=1,1,0))</f>
        <v>1</v>
      </c>
      <c r="AM349" s="7" t="n">
        <f aca="true">IF(I349="","",TODAY()-I349)</f>
        <v>1</v>
      </c>
      <c r="AN349" s="7" t="n">
        <f aca="false">IF(A349="","",IF(AND(E349&lt;&gt;"33 確認済",E349&lt;&gt;"36 送付中"),1,0))</f>
        <v>1</v>
      </c>
      <c r="AO349" s="7" t="n">
        <f aca="false">IF(A349="","",IF(AG349&lt;&gt;"",1,0))</f>
        <v>0</v>
      </c>
    </row>
    <row r="350" customFormat="false" ht="15" hidden="false" customHeight="false" outlineLevel="0" collapsed="false">
      <c r="A350" s="3" t="n">
        <v>202660001517</v>
      </c>
      <c r="B350" s="3"/>
      <c r="C350" s="3"/>
      <c r="D350" s="3" t="n">
        <v>30</v>
      </c>
      <c r="E350" s="3" t="s">
        <v>93</v>
      </c>
      <c r="F350" s="3"/>
      <c r="G350" s="3"/>
      <c r="H350" s="4" t="n">
        <v>46174</v>
      </c>
      <c r="I350" s="5" t="n">
        <v>46289</v>
      </c>
      <c r="J350" s="4" t="n">
        <v>46289</v>
      </c>
      <c r="K350" s="3"/>
      <c r="L350" s="3"/>
      <c r="M350" s="3"/>
      <c r="N350" s="3"/>
      <c r="O350" s="3" t="s">
        <v>94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 t="n">
        <v>49</v>
      </c>
      <c r="AC350" s="3" t="n">
        <v>0</v>
      </c>
      <c r="AD350" s="6" t="s">
        <v>43</v>
      </c>
      <c r="AE350" s="3" t="s">
        <v>83</v>
      </c>
      <c r="AF350" s="3"/>
      <c r="AG350" s="3"/>
      <c r="AH350" s="6" t="s">
        <v>43</v>
      </c>
      <c r="AI350" s="3"/>
      <c r="AJ350" s="3"/>
      <c r="AK350" s="3"/>
      <c r="AL350" s="7" t="n">
        <f aca="false">IF(A350="","",IF(COUNTIF(A350:A$2001,A350)=1,1,0))</f>
        <v>1</v>
      </c>
      <c r="AM350" s="7" t="n">
        <f aca="true">IF(I350="","",TODAY()-I350)</f>
        <v>1</v>
      </c>
      <c r="AN350" s="7" t="n">
        <f aca="false">IF(A350="","",IF(AND(E350&lt;&gt;"33 確認済",E350&lt;&gt;"36 送付中"),1,0))</f>
        <v>1</v>
      </c>
      <c r="AO350" s="7" t="n">
        <f aca="false">IF(A350="","",IF(AG350&lt;&gt;"",1,0))</f>
        <v>0</v>
      </c>
    </row>
    <row r="351" customFormat="false" ht="15" hidden="false" customHeight="false" outlineLevel="0" collapsed="false">
      <c r="A351" s="3" t="n">
        <v>202660001518</v>
      </c>
      <c r="B351" s="3"/>
      <c r="C351" s="3"/>
      <c r="D351" s="3" t="n">
        <v>20</v>
      </c>
      <c r="E351" s="3" t="s">
        <v>69</v>
      </c>
      <c r="F351" s="3"/>
      <c r="G351" s="3"/>
      <c r="H351" s="4" t="n">
        <v>46023</v>
      </c>
      <c r="I351" s="5" t="n">
        <v>46289</v>
      </c>
      <c r="J351" s="3"/>
      <c r="K351" s="3"/>
      <c r="L351" s="3"/>
      <c r="M351" s="3"/>
      <c r="N351" s="3"/>
      <c r="O351" s="3" t="s">
        <v>81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 t="n">
        <v>28</v>
      </c>
      <c r="AC351" s="3" t="n">
        <v>3</v>
      </c>
      <c r="AD351" s="6" t="s">
        <v>43</v>
      </c>
      <c r="AE351" s="3"/>
      <c r="AF351" s="3"/>
      <c r="AG351" s="3"/>
      <c r="AH351" s="3"/>
      <c r="AI351" s="3"/>
      <c r="AJ351" s="3"/>
      <c r="AK351" s="3"/>
      <c r="AL351" s="7" t="n">
        <f aca="false">IF(A351="","",IF(COUNTIF(A351:A$2001,A351)=1,1,0))</f>
        <v>1</v>
      </c>
      <c r="AM351" s="7" t="n">
        <f aca="true">IF(I351="","",TODAY()-I351)</f>
        <v>1</v>
      </c>
      <c r="AN351" s="7" t="n">
        <f aca="false">IF(A351="","",IF(AND(E351&lt;&gt;"33 確認済",E351&lt;&gt;"36 送付中"),1,0))</f>
        <v>1</v>
      </c>
      <c r="AO351" s="7" t="n">
        <f aca="false">IF(A351="","",IF(AG351&lt;&gt;"",1,0))</f>
        <v>0</v>
      </c>
    </row>
    <row r="352" customFormat="false" ht="15" hidden="false" customHeight="false" outlineLevel="0" collapsed="false">
      <c r="A352" s="3" t="n">
        <v>202660001519</v>
      </c>
      <c r="B352" s="3"/>
      <c r="C352" s="3"/>
      <c r="D352" s="3" t="n">
        <v>30</v>
      </c>
      <c r="E352" s="3" t="s">
        <v>93</v>
      </c>
      <c r="F352" s="3"/>
      <c r="G352" s="3"/>
      <c r="H352" s="4" t="n">
        <v>46107</v>
      </c>
      <c r="I352" s="5" t="n">
        <v>46289</v>
      </c>
      <c r="J352" s="4" t="n">
        <v>46289</v>
      </c>
      <c r="K352" s="3"/>
      <c r="L352" s="3"/>
      <c r="M352" s="3"/>
      <c r="N352" s="3"/>
      <c r="O352" s="3" t="s">
        <v>94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 t="n">
        <v>47</v>
      </c>
      <c r="AC352" s="3" t="n">
        <v>0</v>
      </c>
      <c r="AD352" s="6" t="s">
        <v>43</v>
      </c>
      <c r="AE352" s="3" t="s">
        <v>44</v>
      </c>
      <c r="AF352" s="3"/>
      <c r="AG352" s="3"/>
      <c r="AH352" s="6" t="s">
        <v>43</v>
      </c>
      <c r="AI352" s="3"/>
      <c r="AJ352" s="3"/>
      <c r="AK352" s="3"/>
      <c r="AL352" s="7" t="n">
        <f aca="false">IF(A352="","",IF(COUNTIF(A352:A$2001,A352)=1,1,0))</f>
        <v>1</v>
      </c>
      <c r="AM352" s="7" t="n">
        <f aca="true">IF(I352="","",TODAY()-I352)</f>
        <v>1</v>
      </c>
      <c r="AN352" s="7" t="n">
        <f aca="false">IF(A352="","",IF(AND(E352&lt;&gt;"33 確認済",E352&lt;&gt;"36 送付中"),1,0))</f>
        <v>1</v>
      </c>
      <c r="AO352" s="7" t="n">
        <f aca="false">IF(A352="","",IF(AG352&lt;&gt;"",1,0))</f>
        <v>0</v>
      </c>
    </row>
    <row r="353" customFormat="false" ht="15" hidden="false" customHeight="false" outlineLevel="0" collapsed="false">
      <c r="A353" s="3" t="n">
        <v>202660001521</v>
      </c>
      <c r="B353" s="3"/>
      <c r="C353" s="3"/>
      <c r="D353" s="3" t="n">
        <v>20</v>
      </c>
      <c r="E353" s="3" t="s">
        <v>69</v>
      </c>
      <c r="F353" s="3"/>
      <c r="G353" s="3"/>
      <c r="H353" s="4" t="n">
        <v>46275</v>
      </c>
      <c r="I353" s="5" t="n">
        <v>46289</v>
      </c>
      <c r="J353" s="3"/>
      <c r="K353" s="3"/>
      <c r="L353" s="3"/>
      <c r="M353" s="3"/>
      <c r="N353" s="3"/>
      <c r="O353" s="3" t="s">
        <v>81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 t="n">
        <v>27</v>
      </c>
      <c r="AC353" s="3" t="n">
        <v>1</v>
      </c>
      <c r="AD353" s="6" t="s">
        <v>46</v>
      </c>
      <c r="AE353" s="3" t="s">
        <v>66</v>
      </c>
      <c r="AF353" s="6" t="s">
        <v>46</v>
      </c>
      <c r="AG353" s="6" t="s">
        <v>46</v>
      </c>
      <c r="AH353" s="6" t="s">
        <v>46</v>
      </c>
      <c r="AI353" s="3"/>
      <c r="AJ353" s="3"/>
      <c r="AK353" s="3"/>
      <c r="AL353" s="7" t="n">
        <f aca="false">IF(A353="","",IF(COUNTIF(A353:A$2001,A353)=1,1,0))</f>
        <v>1</v>
      </c>
      <c r="AM353" s="7" t="n">
        <f aca="true">IF(I353="","",TODAY()-I353)</f>
        <v>1</v>
      </c>
      <c r="AN353" s="7" t="n">
        <f aca="false">IF(A353="","",IF(AND(E353&lt;&gt;"33 確認済",E353&lt;&gt;"36 送付中"),1,0))</f>
        <v>1</v>
      </c>
      <c r="AO353" s="7" t="n">
        <f aca="false">IF(A353="","",IF(AG353&lt;&gt;"",1,0))</f>
        <v>1</v>
      </c>
    </row>
    <row r="354" customFormat="false" ht="15" hidden="false" customHeight="false" outlineLevel="0" collapsed="false">
      <c r="A354" s="3" t="n">
        <v>202660001524</v>
      </c>
      <c r="B354" s="3"/>
      <c r="C354" s="3"/>
      <c r="D354" s="3" t="n">
        <v>20</v>
      </c>
      <c r="E354" s="3" t="s">
        <v>69</v>
      </c>
      <c r="F354" s="3"/>
      <c r="G354" s="3"/>
      <c r="H354" s="4" t="n">
        <v>46006</v>
      </c>
      <c r="I354" s="5" t="n">
        <v>46289</v>
      </c>
      <c r="J354" s="3"/>
      <c r="K354" s="3"/>
      <c r="L354" s="3"/>
      <c r="M354" s="3"/>
      <c r="N354" s="3"/>
      <c r="O354" s="3" t="s">
        <v>81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 t="n">
        <v>49</v>
      </c>
      <c r="AC354" s="3" t="n">
        <v>0</v>
      </c>
      <c r="AD354" s="6" t="s">
        <v>43</v>
      </c>
      <c r="AE354" s="3" t="s">
        <v>83</v>
      </c>
      <c r="AF354" s="3"/>
      <c r="AG354" s="3"/>
      <c r="AH354" s="3"/>
      <c r="AI354" s="3"/>
      <c r="AJ354" s="3"/>
      <c r="AK354" s="3"/>
      <c r="AL354" s="7" t="n">
        <f aca="false">IF(A354="","",IF(COUNTIF(A354:A$2001,A354)=1,1,0))</f>
        <v>1</v>
      </c>
      <c r="AM354" s="7" t="n">
        <f aca="true">IF(I354="","",TODAY()-I354)</f>
        <v>1</v>
      </c>
      <c r="AN354" s="7" t="n">
        <f aca="false">IF(A354="","",IF(AND(E354&lt;&gt;"33 確認済",E354&lt;&gt;"36 送付中"),1,0))</f>
        <v>1</v>
      </c>
      <c r="AO354" s="7" t="n">
        <f aca="false">IF(A354="","",IF(AG354&lt;&gt;"",1,0))</f>
        <v>0</v>
      </c>
    </row>
    <row r="355" customFormat="false" ht="15" hidden="false" customHeight="false" outlineLevel="0" collapsed="false">
      <c r="A355" s="3" t="n">
        <v>202660001525</v>
      </c>
      <c r="B355" s="3"/>
      <c r="C355" s="3"/>
      <c r="D355" s="3" t="n">
        <v>20</v>
      </c>
      <c r="E355" s="3" t="s">
        <v>69</v>
      </c>
      <c r="F355" s="3"/>
      <c r="G355" s="3"/>
      <c r="H355" s="4" t="n">
        <v>46188</v>
      </c>
      <c r="I355" s="5" t="n">
        <v>46289</v>
      </c>
      <c r="J355" s="3"/>
      <c r="K355" s="3"/>
      <c r="L355" s="3"/>
      <c r="M355" s="3"/>
      <c r="N355" s="3"/>
      <c r="O355" s="3" t="s">
        <v>81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 t="n">
        <v>23</v>
      </c>
      <c r="AC355" s="3" t="n">
        <v>1</v>
      </c>
      <c r="AD355" s="6" t="s">
        <v>46</v>
      </c>
      <c r="AE355" s="3" t="s">
        <v>52</v>
      </c>
      <c r="AF355" s="3"/>
      <c r="AG355" s="3"/>
      <c r="AH355" s="3"/>
      <c r="AI355" s="3"/>
      <c r="AJ355" s="3"/>
      <c r="AK355" s="3"/>
      <c r="AL355" s="7" t="n">
        <f aca="false">IF(A355="","",IF(COUNTIF(A355:A$2001,A355)=1,1,0))</f>
        <v>0</v>
      </c>
      <c r="AM355" s="7" t="n">
        <f aca="true">IF(I355="","",TODAY()-I355)</f>
        <v>1</v>
      </c>
      <c r="AN355" s="7" t="n">
        <f aca="false">IF(A355="","",IF(AND(E355&lt;&gt;"33 確認済",E355&lt;&gt;"36 送付中"),1,0))</f>
        <v>1</v>
      </c>
      <c r="AO355" s="7" t="n">
        <f aca="false">IF(A355="","",IF(AG355&lt;&gt;"",1,0))</f>
        <v>0</v>
      </c>
    </row>
    <row r="356" customFormat="false" ht="15" hidden="false" customHeight="false" outlineLevel="0" collapsed="false">
      <c r="A356" s="3" t="n">
        <v>202660001525</v>
      </c>
      <c r="B356" s="3"/>
      <c r="C356" s="3"/>
      <c r="D356" s="3" t="n">
        <v>20</v>
      </c>
      <c r="E356" s="3" t="s">
        <v>69</v>
      </c>
      <c r="F356" s="3"/>
      <c r="G356" s="3"/>
      <c r="H356" s="4" t="n">
        <v>46188</v>
      </c>
      <c r="I356" s="5" t="n">
        <v>46289</v>
      </c>
      <c r="J356" s="3"/>
      <c r="K356" s="3"/>
      <c r="L356" s="3"/>
      <c r="M356" s="3"/>
      <c r="N356" s="3"/>
      <c r="O356" s="3" t="s">
        <v>81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 t="n">
        <v>23</v>
      </c>
      <c r="AC356" s="3" t="n">
        <v>1</v>
      </c>
      <c r="AD356" s="6" t="s">
        <v>46</v>
      </c>
      <c r="AE356" s="3" t="s">
        <v>53</v>
      </c>
      <c r="AF356" s="3"/>
      <c r="AG356" s="3"/>
      <c r="AH356" s="3"/>
      <c r="AI356" s="3"/>
      <c r="AJ356" s="3"/>
      <c r="AK356" s="3"/>
      <c r="AL356" s="7" t="n">
        <f aca="false">IF(A356="","",IF(COUNTIF(A356:A$2001,A356)=1,1,0))</f>
        <v>1</v>
      </c>
      <c r="AM356" s="7" t="n">
        <f aca="true">IF(I356="","",TODAY()-I356)</f>
        <v>1</v>
      </c>
      <c r="AN356" s="7" t="n">
        <f aca="false">IF(A356="","",IF(AND(E356&lt;&gt;"33 確認済",E356&lt;&gt;"36 送付中"),1,0))</f>
        <v>1</v>
      </c>
      <c r="AO356" s="7" t="n">
        <f aca="false">IF(A356="","",IF(AG356&lt;&gt;"",1,0))</f>
        <v>0</v>
      </c>
    </row>
    <row r="357" customFormat="false" ht="15" hidden="false" customHeight="false" outlineLevel="0" collapsed="false">
      <c r="A357" s="3" t="n">
        <v>202660001529</v>
      </c>
      <c r="B357" s="3"/>
      <c r="C357" s="3"/>
      <c r="D357" s="3" t="n">
        <v>20</v>
      </c>
      <c r="E357" s="3" t="s">
        <v>69</v>
      </c>
      <c r="F357" s="3"/>
      <c r="G357" s="3"/>
      <c r="H357" s="4" t="n">
        <v>46143</v>
      </c>
      <c r="I357" s="5" t="n">
        <v>46289</v>
      </c>
      <c r="J357" s="3"/>
      <c r="K357" s="3"/>
      <c r="L357" s="3"/>
      <c r="M357" s="3"/>
      <c r="N357" s="3"/>
      <c r="O357" s="3" t="s">
        <v>81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 t="n">
        <v>49</v>
      </c>
      <c r="AC357" s="3" t="n">
        <v>0</v>
      </c>
      <c r="AD357" s="6" t="s">
        <v>43</v>
      </c>
      <c r="AE357" s="3" t="s">
        <v>83</v>
      </c>
      <c r="AF357" s="3"/>
      <c r="AG357" s="3"/>
      <c r="AH357" s="6" t="s">
        <v>43</v>
      </c>
      <c r="AI357" s="3"/>
      <c r="AJ357" s="3"/>
      <c r="AK357" s="3"/>
      <c r="AL357" s="7" t="n">
        <f aca="false">IF(A357="","",IF(COUNTIF(A357:A$2001,A357)=1,1,0))</f>
        <v>1</v>
      </c>
      <c r="AM357" s="7" t="n">
        <f aca="true">IF(I357="","",TODAY()-I357)</f>
        <v>1</v>
      </c>
      <c r="AN357" s="7" t="n">
        <f aca="false">IF(A357="","",IF(AND(E357&lt;&gt;"33 確認済",E357&lt;&gt;"36 送付中"),1,0))</f>
        <v>1</v>
      </c>
      <c r="AO357" s="7" t="n">
        <f aca="false">IF(A357="","",IF(AG357&lt;&gt;"",1,0))</f>
        <v>0</v>
      </c>
    </row>
    <row r="358" customFormat="false" ht="15" hidden="false" customHeight="false" outlineLevel="0" collapsed="false">
      <c r="A358" s="3" t="n">
        <v>202660001530</v>
      </c>
      <c r="B358" s="3"/>
      <c r="C358" s="3"/>
      <c r="D358" s="3" t="n">
        <v>20</v>
      </c>
      <c r="E358" s="3" t="s">
        <v>69</v>
      </c>
      <c r="F358" s="3"/>
      <c r="G358" s="3"/>
      <c r="H358" s="4" t="n">
        <v>46286</v>
      </c>
      <c r="I358" s="5" t="n">
        <v>46289</v>
      </c>
      <c r="J358" s="3"/>
      <c r="K358" s="3"/>
      <c r="L358" s="3"/>
      <c r="M358" s="3"/>
      <c r="N358" s="3"/>
      <c r="O358" s="3" t="s">
        <v>81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 t="n">
        <v>23</v>
      </c>
      <c r="AC358" s="3" t="n">
        <v>1</v>
      </c>
      <c r="AD358" s="6" t="s">
        <v>46</v>
      </c>
      <c r="AE358" s="3" t="s">
        <v>52</v>
      </c>
      <c r="AF358" s="3"/>
      <c r="AG358" s="3"/>
      <c r="AH358" s="3"/>
      <c r="AI358" s="3"/>
      <c r="AJ358" s="3"/>
      <c r="AK358" s="3"/>
      <c r="AL358" s="7" t="n">
        <f aca="false">IF(A358="","",IF(COUNTIF(A358:A$2001,A358)=1,1,0))</f>
        <v>0</v>
      </c>
      <c r="AM358" s="7" t="n">
        <f aca="true">IF(I358="","",TODAY()-I358)</f>
        <v>1</v>
      </c>
      <c r="AN358" s="7" t="n">
        <f aca="false">IF(A358="","",IF(AND(E358&lt;&gt;"33 確認済",E358&lt;&gt;"36 送付中"),1,0))</f>
        <v>1</v>
      </c>
      <c r="AO358" s="7" t="n">
        <f aca="false">IF(A358="","",IF(AG358&lt;&gt;"",1,0))</f>
        <v>0</v>
      </c>
    </row>
    <row r="359" customFormat="false" ht="15" hidden="false" customHeight="false" outlineLevel="0" collapsed="false">
      <c r="A359" s="3" t="n">
        <v>202660001530</v>
      </c>
      <c r="B359" s="3"/>
      <c r="C359" s="3"/>
      <c r="D359" s="3" t="n">
        <v>20</v>
      </c>
      <c r="E359" s="3" t="s">
        <v>69</v>
      </c>
      <c r="F359" s="3"/>
      <c r="G359" s="3"/>
      <c r="H359" s="4" t="n">
        <v>46286</v>
      </c>
      <c r="I359" s="5" t="n">
        <v>46289</v>
      </c>
      <c r="J359" s="3"/>
      <c r="K359" s="3"/>
      <c r="L359" s="3"/>
      <c r="M359" s="3"/>
      <c r="N359" s="3"/>
      <c r="O359" s="3" t="s">
        <v>81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 t="n">
        <v>23</v>
      </c>
      <c r="AC359" s="3" t="n">
        <v>1</v>
      </c>
      <c r="AD359" s="6" t="s">
        <v>46</v>
      </c>
      <c r="AE359" s="3" t="s">
        <v>53</v>
      </c>
      <c r="AF359" s="3"/>
      <c r="AG359" s="3"/>
      <c r="AH359" s="3"/>
      <c r="AI359" s="3"/>
      <c r="AJ359" s="3"/>
      <c r="AK359" s="3"/>
      <c r="AL359" s="7" t="n">
        <f aca="false">IF(A359="","",IF(COUNTIF(A359:A$2001,A359)=1,1,0))</f>
        <v>1</v>
      </c>
      <c r="AM359" s="7" t="n">
        <f aca="true">IF(I359="","",TODAY()-I359)</f>
        <v>1</v>
      </c>
      <c r="AN359" s="7" t="n">
        <f aca="false">IF(A359="","",IF(AND(E359&lt;&gt;"33 確認済",E359&lt;&gt;"36 送付中"),1,0))</f>
        <v>1</v>
      </c>
      <c r="AO359" s="7" t="n">
        <f aca="false">IF(A359="","",IF(AG359&lt;&gt;"",1,0))</f>
        <v>0</v>
      </c>
    </row>
    <row r="360" customFormat="false" ht="15" hidden="false" customHeight="false" outlineLevel="0" collapsed="false">
      <c r="A360" s="3" t="n">
        <v>202660001531</v>
      </c>
      <c r="B360" s="3"/>
      <c r="C360" s="3"/>
      <c r="D360" s="3" t="n">
        <v>20</v>
      </c>
      <c r="E360" s="3" t="s">
        <v>69</v>
      </c>
      <c r="F360" s="3"/>
      <c r="G360" s="3"/>
      <c r="H360" s="4" t="n">
        <v>46266</v>
      </c>
      <c r="I360" s="5" t="n">
        <v>46289</v>
      </c>
      <c r="J360" s="3"/>
      <c r="K360" s="3"/>
      <c r="L360" s="3"/>
      <c r="M360" s="3"/>
      <c r="N360" s="3"/>
      <c r="O360" s="3" t="s">
        <v>81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 t="n">
        <v>26</v>
      </c>
      <c r="AC360" s="3" t="n">
        <v>1</v>
      </c>
      <c r="AD360" s="6" t="s">
        <v>46</v>
      </c>
      <c r="AE360" s="3" t="s">
        <v>57</v>
      </c>
      <c r="AF360" s="6" t="s">
        <v>46</v>
      </c>
      <c r="AG360" s="6" t="s">
        <v>46</v>
      </c>
      <c r="AH360" s="6" t="s">
        <v>46</v>
      </c>
      <c r="AI360" s="3"/>
      <c r="AJ360" s="3"/>
      <c r="AK360" s="3"/>
      <c r="AL360" s="7" t="n">
        <f aca="false">IF(A360="","",IF(COUNTIF(A360:A$2001,A360)=1,1,0))</f>
        <v>1</v>
      </c>
      <c r="AM360" s="7" t="n">
        <f aca="true">IF(I360="","",TODAY()-I360)</f>
        <v>1</v>
      </c>
      <c r="AN360" s="7" t="n">
        <f aca="false">IF(A360="","",IF(AND(E360&lt;&gt;"33 確認済",E360&lt;&gt;"36 送付中"),1,0))</f>
        <v>1</v>
      </c>
      <c r="AO360" s="7" t="n">
        <f aca="false">IF(A360="","",IF(AG360&lt;&gt;"",1,0))</f>
        <v>1</v>
      </c>
    </row>
    <row r="361" customFormat="false" ht="15" hidden="false" customHeight="false" outlineLevel="0" collapsed="false">
      <c r="A361" s="3" t="n">
        <v>202660001532</v>
      </c>
      <c r="B361" s="3"/>
      <c r="C361" s="3"/>
      <c r="D361" s="3" t="n">
        <v>20</v>
      </c>
      <c r="E361" s="3" t="s">
        <v>69</v>
      </c>
      <c r="F361" s="3"/>
      <c r="G361" s="3"/>
      <c r="H361" s="4" t="n">
        <v>46284</v>
      </c>
      <c r="I361" s="5" t="n">
        <v>46289</v>
      </c>
      <c r="J361" s="3"/>
      <c r="K361" s="3"/>
      <c r="L361" s="3"/>
      <c r="M361" s="3"/>
      <c r="N361" s="3"/>
      <c r="O361" s="3" t="s">
        <v>81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 t="n">
        <v>24</v>
      </c>
      <c r="AC361" s="3" t="n">
        <v>1</v>
      </c>
      <c r="AD361" s="6" t="s">
        <v>46</v>
      </c>
      <c r="AE361" s="3" t="s">
        <v>91</v>
      </c>
      <c r="AF361" s="6" t="s">
        <v>46</v>
      </c>
      <c r="AG361" s="6" t="s">
        <v>46</v>
      </c>
      <c r="AH361" s="6" t="s">
        <v>46</v>
      </c>
      <c r="AI361" s="3"/>
      <c r="AJ361" s="3"/>
      <c r="AK361" s="3"/>
      <c r="AL361" s="7" t="n">
        <f aca="false">IF(A361="","",IF(COUNTIF(A361:A$2001,A361)=1,1,0))</f>
        <v>1</v>
      </c>
      <c r="AM361" s="7" t="n">
        <f aca="true">IF(I361="","",TODAY()-I361)</f>
        <v>1</v>
      </c>
      <c r="AN361" s="7" t="n">
        <f aca="false">IF(A361="","",IF(AND(E361&lt;&gt;"33 確認済",E361&lt;&gt;"36 送付中"),1,0))</f>
        <v>1</v>
      </c>
      <c r="AO361" s="7" t="n">
        <f aca="false">IF(A361="","",IF(AG361&lt;&gt;"",1,0))</f>
        <v>1</v>
      </c>
    </row>
    <row r="362" customFormat="false" ht="15" hidden="false" customHeight="false" outlineLevel="0" collapsed="false">
      <c r="A362" s="3" t="n">
        <v>202660001533</v>
      </c>
      <c r="B362" s="3"/>
      <c r="C362" s="3"/>
      <c r="D362" s="3" t="n">
        <v>20</v>
      </c>
      <c r="E362" s="3" t="s">
        <v>69</v>
      </c>
      <c r="F362" s="3"/>
      <c r="G362" s="3"/>
      <c r="H362" s="4" t="n">
        <v>46120</v>
      </c>
      <c r="I362" s="5" t="n">
        <v>46289</v>
      </c>
      <c r="J362" s="3"/>
      <c r="K362" s="3"/>
      <c r="L362" s="3"/>
      <c r="M362" s="3"/>
      <c r="N362" s="3"/>
      <c r="O362" s="3" t="s">
        <v>81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 t="n">
        <v>47</v>
      </c>
      <c r="AC362" s="3" t="n">
        <v>0</v>
      </c>
      <c r="AD362" s="6" t="s">
        <v>43</v>
      </c>
      <c r="AE362" s="3" t="s">
        <v>44</v>
      </c>
      <c r="AF362" s="6" t="s">
        <v>43</v>
      </c>
      <c r="AG362" s="6" t="s">
        <v>43</v>
      </c>
      <c r="AH362" s="6" t="s">
        <v>43</v>
      </c>
      <c r="AI362" s="3"/>
      <c r="AJ362" s="3"/>
      <c r="AK362" s="3"/>
      <c r="AL362" s="7" t="n">
        <f aca="false">IF(A362="","",IF(COUNTIF(A362:A$2001,A362)=1,1,0))</f>
        <v>1</v>
      </c>
      <c r="AM362" s="7" t="n">
        <f aca="true">IF(I362="","",TODAY()-I362)</f>
        <v>1</v>
      </c>
      <c r="AN362" s="7" t="n">
        <f aca="false">IF(A362="","",IF(AND(E362&lt;&gt;"33 確認済",E362&lt;&gt;"36 送付中"),1,0))</f>
        <v>1</v>
      </c>
      <c r="AO362" s="7" t="n">
        <f aca="false">IF(A362="","",IF(AG362&lt;&gt;"",1,0))</f>
        <v>1</v>
      </c>
    </row>
    <row r="363" customFormat="false" ht="15" hidden="false" customHeight="false" outlineLevel="0" collapsed="false">
      <c r="A363" s="3" t="n">
        <v>202660001534</v>
      </c>
      <c r="B363" s="3"/>
      <c r="C363" s="3"/>
      <c r="D363" s="3" t="n">
        <v>20</v>
      </c>
      <c r="E363" s="3" t="s">
        <v>69</v>
      </c>
      <c r="F363" s="3"/>
      <c r="G363" s="3"/>
      <c r="H363" s="4" t="n">
        <v>46095</v>
      </c>
      <c r="I363" s="5" t="n">
        <v>46289</v>
      </c>
      <c r="J363" s="3"/>
      <c r="K363" s="3"/>
      <c r="L363" s="3"/>
      <c r="M363" s="3"/>
      <c r="N363" s="3"/>
      <c r="O363" s="3" t="s">
        <v>81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 t="n">
        <v>9</v>
      </c>
      <c r="AC363" s="3" t="n">
        <v>0</v>
      </c>
      <c r="AD363" s="6" t="s">
        <v>43</v>
      </c>
      <c r="AE363" s="3" t="s">
        <v>65</v>
      </c>
      <c r="AF363" s="3"/>
      <c r="AG363" s="3"/>
      <c r="AH363" s="6" t="s">
        <v>43</v>
      </c>
      <c r="AI363" s="3"/>
      <c r="AJ363" s="3"/>
      <c r="AK363" s="3"/>
      <c r="AL363" s="7" t="n">
        <f aca="false">IF(A363="","",IF(COUNTIF(A363:A$2001,A363)=1,1,0))</f>
        <v>1</v>
      </c>
      <c r="AM363" s="7" t="n">
        <f aca="true">IF(I363="","",TODAY()-I363)</f>
        <v>1</v>
      </c>
      <c r="AN363" s="7" t="n">
        <f aca="false">IF(A363="","",IF(AND(E363&lt;&gt;"33 確認済",E363&lt;&gt;"36 送付中"),1,0))</f>
        <v>1</v>
      </c>
      <c r="AO363" s="7" t="n">
        <f aca="false">IF(A363="","",IF(AG363&lt;&gt;"",1,0))</f>
        <v>0</v>
      </c>
    </row>
    <row r="364" customFormat="false" ht="15" hidden="false" customHeight="false" outlineLevel="0" collapsed="false">
      <c r="A364" s="3" t="n">
        <v>202660001535</v>
      </c>
      <c r="B364" s="3"/>
      <c r="C364" s="3"/>
      <c r="D364" s="3" t="n">
        <v>20</v>
      </c>
      <c r="E364" s="3" t="s">
        <v>69</v>
      </c>
      <c r="F364" s="3"/>
      <c r="G364" s="3"/>
      <c r="H364" s="4" t="n">
        <v>46113</v>
      </c>
      <c r="I364" s="5" t="n">
        <v>46289</v>
      </c>
      <c r="J364" s="3"/>
      <c r="K364" s="3"/>
      <c r="L364" s="3"/>
      <c r="M364" s="3"/>
      <c r="N364" s="3"/>
      <c r="O364" s="3" t="s">
        <v>81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 t="n">
        <v>99</v>
      </c>
      <c r="AC364" s="3" t="n">
        <v>0</v>
      </c>
      <c r="AD364" s="6" t="s">
        <v>43</v>
      </c>
      <c r="AE364" s="3" t="s">
        <v>61</v>
      </c>
      <c r="AF364" s="3"/>
      <c r="AG364" s="3"/>
      <c r="AH364" s="6" t="s">
        <v>43</v>
      </c>
      <c r="AI364" s="3"/>
      <c r="AJ364" s="3"/>
      <c r="AK364" s="3"/>
      <c r="AL364" s="7" t="n">
        <f aca="false">IF(A364="","",IF(COUNTIF(A364:A$2001,A364)=1,1,0))</f>
        <v>1</v>
      </c>
      <c r="AM364" s="7" t="n">
        <f aca="true">IF(I364="","",TODAY()-I364)</f>
        <v>1</v>
      </c>
      <c r="AN364" s="7" t="n">
        <f aca="false">IF(A364="","",IF(AND(E364&lt;&gt;"33 確認済",E364&lt;&gt;"36 送付中"),1,0))</f>
        <v>1</v>
      </c>
      <c r="AO364" s="7" t="n">
        <f aca="false">IF(A364="","",IF(AG364&lt;&gt;"",1,0))</f>
        <v>0</v>
      </c>
    </row>
    <row r="365" customFormat="false" ht="15" hidden="false" customHeight="false" outlineLevel="0" collapsed="false">
      <c r="A365" s="3" t="n">
        <v>202660001537</v>
      </c>
      <c r="B365" s="3"/>
      <c r="C365" s="3"/>
      <c r="D365" s="3" t="n">
        <v>20</v>
      </c>
      <c r="E365" s="3" t="s">
        <v>69</v>
      </c>
      <c r="F365" s="3"/>
      <c r="G365" s="3"/>
      <c r="H365" s="4" t="n">
        <v>46289</v>
      </c>
      <c r="I365" s="5" t="n">
        <v>46289</v>
      </c>
      <c r="J365" s="3"/>
      <c r="K365" s="3"/>
      <c r="L365" s="3"/>
      <c r="M365" s="3"/>
      <c r="N365" s="3"/>
      <c r="O365" s="3" t="s">
        <v>81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 t="n">
        <v>27</v>
      </c>
      <c r="AC365" s="3" t="n">
        <v>1</v>
      </c>
      <c r="AD365" s="6" t="s">
        <v>46</v>
      </c>
      <c r="AE365" s="3" t="s">
        <v>66</v>
      </c>
      <c r="AF365" s="3"/>
      <c r="AG365" s="3"/>
      <c r="AH365" s="6" t="s">
        <v>46</v>
      </c>
      <c r="AI365" s="3"/>
      <c r="AJ365" s="3"/>
      <c r="AK365" s="3"/>
      <c r="AL365" s="7" t="n">
        <f aca="false">IF(A365="","",IF(COUNTIF(A365:A$2001,A365)=1,1,0))</f>
        <v>1</v>
      </c>
      <c r="AM365" s="7" t="n">
        <f aca="true">IF(I365="","",TODAY()-I365)</f>
        <v>1</v>
      </c>
      <c r="AN365" s="7" t="n">
        <f aca="false">IF(A365="","",IF(AND(E365&lt;&gt;"33 確認済",E365&lt;&gt;"36 送付中"),1,0))</f>
        <v>1</v>
      </c>
      <c r="AO365" s="7" t="n">
        <f aca="false">IF(A365="","",IF(AG365&lt;&gt;"",1,0))</f>
        <v>0</v>
      </c>
    </row>
    <row r="366" customFormat="false" ht="15" hidden="false" customHeight="false" outlineLevel="0" collapsed="false">
      <c r="A366" s="3" t="n">
        <v>202660001538</v>
      </c>
      <c r="B366" s="3"/>
      <c r="C366" s="3"/>
      <c r="D366" s="3" t="n">
        <v>20</v>
      </c>
      <c r="E366" s="3" t="s">
        <v>69</v>
      </c>
      <c r="F366" s="3"/>
      <c r="G366" s="3"/>
      <c r="H366" s="4" t="n">
        <v>46191</v>
      </c>
      <c r="I366" s="5" t="n">
        <v>46289</v>
      </c>
      <c r="J366" s="3"/>
      <c r="K366" s="3"/>
      <c r="L366" s="3"/>
      <c r="M366" s="3"/>
      <c r="N366" s="3"/>
      <c r="O366" s="3" t="s">
        <v>81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 t="n">
        <v>28</v>
      </c>
      <c r="AC366" s="3" t="n">
        <v>3</v>
      </c>
      <c r="AD366" s="6" t="s">
        <v>43</v>
      </c>
      <c r="AE366" s="3"/>
      <c r="AF366" s="3"/>
      <c r="AG366" s="3"/>
      <c r="AH366" s="6" t="s">
        <v>46</v>
      </c>
      <c r="AI366" s="3"/>
      <c r="AJ366" s="3"/>
      <c r="AK366" s="3"/>
      <c r="AL366" s="7" t="n">
        <f aca="false">IF(A366="","",IF(COUNTIF(A366:A$2001,A366)=1,1,0))</f>
        <v>1</v>
      </c>
      <c r="AM366" s="7" t="n">
        <f aca="true">IF(I366="","",TODAY()-I366)</f>
        <v>1</v>
      </c>
      <c r="AN366" s="7" t="n">
        <f aca="false">IF(A366="","",IF(AND(E366&lt;&gt;"33 確認済",E366&lt;&gt;"36 送付中"),1,0))</f>
        <v>1</v>
      </c>
      <c r="AO366" s="7" t="n">
        <f aca="false">IF(A366="","",IF(AG366&lt;&gt;"",1,0))</f>
        <v>0</v>
      </c>
    </row>
    <row r="367" customFormat="false" ht="15" hidden="false" customHeight="false" outlineLevel="0" collapsed="false">
      <c r="A367" s="3" t="n">
        <v>202660001539</v>
      </c>
      <c r="B367" s="3"/>
      <c r="C367" s="3"/>
      <c r="D367" s="3" t="n">
        <v>20</v>
      </c>
      <c r="E367" s="3" t="s">
        <v>69</v>
      </c>
      <c r="F367" s="3"/>
      <c r="G367" s="3"/>
      <c r="H367" s="4" t="n">
        <v>46113</v>
      </c>
      <c r="I367" s="5" t="n">
        <v>46289</v>
      </c>
      <c r="J367" s="3"/>
      <c r="K367" s="3"/>
      <c r="L367" s="3"/>
      <c r="M367" s="3"/>
      <c r="N367" s="3"/>
      <c r="O367" s="3" t="s">
        <v>81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 t="n">
        <v>27</v>
      </c>
      <c r="AC367" s="3" t="n">
        <v>1</v>
      </c>
      <c r="AD367" s="6" t="s">
        <v>46</v>
      </c>
      <c r="AE367" s="3" t="s">
        <v>66</v>
      </c>
      <c r="AF367" s="6" t="s">
        <v>46</v>
      </c>
      <c r="AG367" s="3"/>
      <c r="AH367" s="6" t="s">
        <v>46</v>
      </c>
      <c r="AI367" s="3"/>
      <c r="AJ367" s="3"/>
      <c r="AK367" s="3"/>
      <c r="AL367" s="7" t="n">
        <f aca="false">IF(A367="","",IF(COUNTIF(A367:A$2001,A367)=1,1,0))</f>
        <v>1</v>
      </c>
      <c r="AM367" s="7" t="n">
        <f aca="true">IF(I367="","",TODAY()-I367)</f>
        <v>1</v>
      </c>
      <c r="AN367" s="7" t="n">
        <f aca="false">IF(A367="","",IF(AND(E367&lt;&gt;"33 確認済",E367&lt;&gt;"36 送付中"),1,0))</f>
        <v>1</v>
      </c>
      <c r="AO367" s="7" t="n">
        <f aca="false">IF(A367="","",IF(AG367&lt;&gt;"",1,0))</f>
        <v>0</v>
      </c>
    </row>
    <row r="368" customFormat="false" ht="15" hidden="false" customHeight="false" outlineLevel="0" collapsed="false">
      <c r="A368" s="3" t="n">
        <v>202660001540</v>
      </c>
      <c r="B368" s="3"/>
      <c r="C368" s="3"/>
      <c r="D368" s="3" t="n">
        <v>20</v>
      </c>
      <c r="E368" s="3" t="s">
        <v>69</v>
      </c>
      <c r="F368" s="3"/>
      <c r="G368" s="3"/>
      <c r="H368" s="4" t="n">
        <v>46242</v>
      </c>
      <c r="I368" s="5" t="n">
        <v>46289</v>
      </c>
      <c r="J368" s="3"/>
      <c r="K368" s="3"/>
      <c r="L368" s="3"/>
      <c r="M368" s="3"/>
      <c r="N368" s="3"/>
      <c r="O368" s="3" t="s">
        <v>81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 t="n">
        <v>23</v>
      </c>
      <c r="AC368" s="3" t="n">
        <v>1</v>
      </c>
      <c r="AD368" s="6" t="s">
        <v>46</v>
      </c>
      <c r="AE368" s="3" t="s">
        <v>52</v>
      </c>
      <c r="AF368" s="3"/>
      <c r="AG368" s="3"/>
      <c r="AH368" s="3"/>
      <c r="AI368" s="3"/>
      <c r="AJ368" s="3"/>
      <c r="AK368" s="3"/>
      <c r="AL368" s="7" t="n">
        <f aca="false">IF(A368="","",IF(COUNTIF(A368:A$2001,A368)=1,1,0))</f>
        <v>0</v>
      </c>
      <c r="AM368" s="7" t="n">
        <f aca="true">IF(I368="","",TODAY()-I368)</f>
        <v>1</v>
      </c>
      <c r="AN368" s="7" t="n">
        <f aca="false">IF(A368="","",IF(AND(E368&lt;&gt;"33 確認済",E368&lt;&gt;"36 送付中"),1,0))</f>
        <v>1</v>
      </c>
      <c r="AO368" s="7" t="n">
        <f aca="false">IF(A368="","",IF(AG368&lt;&gt;"",1,0))</f>
        <v>0</v>
      </c>
    </row>
    <row r="369" customFormat="false" ht="15" hidden="false" customHeight="false" outlineLevel="0" collapsed="false">
      <c r="A369" s="3" t="n">
        <v>202660001540</v>
      </c>
      <c r="B369" s="3"/>
      <c r="C369" s="3"/>
      <c r="D369" s="3" t="n">
        <v>20</v>
      </c>
      <c r="E369" s="3" t="s">
        <v>69</v>
      </c>
      <c r="F369" s="3"/>
      <c r="G369" s="3"/>
      <c r="H369" s="4" t="n">
        <v>46242</v>
      </c>
      <c r="I369" s="5" t="n">
        <v>46289</v>
      </c>
      <c r="J369" s="3"/>
      <c r="K369" s="3"/>
      <c r="L369" s="3"/>
      <c r="M369" s="3"/>
      <c r="N369" s="3"/>
      <c r="O369" s="3" t="s">
        <v>81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 t="n">
        <v>23</v>
      </c>
      <c r="AC369" s="3" t="n">
        <v>1</v>
      </c>
      <c r="AD369" s="6" t="s">
        <v>46</v>
      </c>
      <c r="AE369" s="3" t="s">
        <v>53</v>
      </c>
      <c r="AF369" s="3"/>
      <c r="AG369" s="3"/>
      <c r="AH369" s="3"/>
      <c r="AI369" s="3"/>
      <c r="AJ369" s="3"/>
      <c r="AK369" s="3"/>
      <c r="AL369" s="7" t="n">
        <f aca="false">IF(A369="","",IF(COUNTIF(A369:A$2001,A369)=1,1,0))</f>
        <v>1</v>
      </c>
      <c r="AM369" s="7" t="n">
        <f aca="true">IF(I369="","",TODAY()-I369)</f>
        <v>1</v>
      </c>
      <c r="AN369" s="7" t="n">
        <f aca="false">IF(A369="","",IF(AND(E369&lt;&gt;"33 確認済",E369&lt;&gt;"36 送付中"),1,0))</f>
        <v>1</v>
      </c>
      <c r="AO369" s="7" t="n">
        <f aca="false">IF(A369="","",IF(AG369&lt;&gt;"",1,0))</f>
        <v>0</v>
      </c>
    </row>
    <row r="370" customFormat="false" ht="15" hidden="false" customHeight="false" outlineLevel="0" collapsed="false">
      <c r="A370" s="3" t="n">
        <v>202660001541</v>
      </c>
      <c r="B370" s="3"/>
      <c r="C370" s="3"/>
      <c r="D370" s="3" t="n">
        <v>20</v>
      </c>
      <c r="E370" s="3" t="s">
        <v>69</v>
      </c>
      <c r="F370" s="3"/>
      <c r="G370" s="3"/>
      <c r="H370" s="4" t="n">
        <v>46031</v>
      </c>
      <c r="I370" s="5" t="n">
        <v>46289</v>
      </c>
      <c r="J370" s="3"/>
      <c r="K370" s="3"/>
      <c r="L370" s="3"/>
      <c r="M370" s="3"/>
      <c r="N370" s="3"/>
      <c r="O370" s="3" t="s">
        <v>81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 t="n">
        <v>25</v>
      </c>
      <c r="AC370" s="3" t="n">
        <v>1</v>
      </c>
      <c r="AD370" s="6" t="s">
        <v>46</v>
      </c>
      <c r="AE370" s="3" t="s">
        <v>54</v>
      </c>
      <c r="AF370" s="3"/>
      <c r="AG370" s="3"/>
      <c r="AH370" s="6" t="s">
        <v>46</v>
      </c>
      <c r="AI370" s="3"/>
      <c r="AJ370" s="3"/>
      <c r="AK370" s="3"/>
      <c r="AL370" s="7" t="n">
        <f aca="false">IF(A370="","",IF(COUNTIF(A370:A$2001,A370)=1,1,0))</f>
        <v>1</v>
      </c>
      <c r="AM370" s="7" t="n">
        <f aca="true">IF(I370="","",TODAY()-I370)</f>
        <v>1</v>
      </c>
      <c r="AN370" s="7" t="n">
        <f aca="false">IF(A370="","",IF(AND(E370&lt;&gt;"33 確認済",E370&lt;&gt;"36 送付中"),1,0))</f>
        <v>1</v>
      </c>
      <c r="AO370" s="7" t="n">
        <f aca="false">IF(A370="","",IF(AG370&lt;&gt;"",1,0))</f>
        <v>0</v>
      </c>
    </row>
    <row r="371" customFormat="false" ht="15" hidden="false" customHeight="false" outlineLevel="0" collapsed="false">
      <c r="A371" s="3" t="n">
        <v>202660001542</v>
      </c>
      <c r="B371" s="3"/>
      <c r="C371" s="3"/>
      <c r="D371" s="3" t="n">
        <v>20</v>
      </c>
      <c r="E371" s="3" t="s">
        <v>69</v>
      </c>
      <c r="F371" s="3"/>
      <c r="G371" s="3"/>
      <c r="H371" s="4" t="n">
        <v>46289</v>
      </c>
      <c r="I371" s="5" t="n">
        <v>46289</v>
      </c>
      <c r="J371" s="3"/>
      <c r="K371" s="3"/>
      <c r="L371" s="3"/>
      <c r="M371" s="3"/>
      <c r="N371" s="3"/>
      <c r="O371" s="3" t="s">
        <v>81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 t="n">
        <v>51</v>
      </c>
      <c r="AC371" s="3" t="n">
        <v>0</v>
      </c>
      <c r="AD371" s="6" t="s">
        <v>43</v>
      </c>
      <c r="AE371" s="3" t="s">
        <v>72</v>
      </c>
      <c r="AF371" s="6" t="s">
        <v>43</v>
      </c>
      <c r="AG371" s="6" t="s">
        <v>43</v>
      </c>
      <c r="AH371" s="6" t="s">
        <v>43</v>
      </c>
      <c r="AI371" s="3"/>
      <c r="AJ371" s="3"/>
      <c r="AK371" s="3"/>
      <c r="AL371" s="7" t="n">
        <f aca="false">IF(A371="","",IF(COUNTIF(A371:A$2001,A371)=1,1,0))</f>
        <v>1</v>
      </c>
      <c r="AM371" s="7" t="n">
        <f aca="true">IF(I371="","",TODAY()-I371)</f>
        <v>1</v>
      </c>
      <c r="AN371" s="7" t="n">
        <f aca="false">IF(A371="","",IF(AND(E371&lt;&gt;"33 確認済",E371&lt;&gt;"36 送付中"),1,0))</f>
        <v>1</v>
      </c>
      <c r="AO371" s="7" t="n">
        <f aca="false">IF(A371="","",IF(AG371&lt;&gt;"",1,0))</f>
        <v>1</v>
      </c>
    </row>
    <row r="372" customFormat="false" ht="15" hidden="false" customHeight="false" outlineLevel="0" collapsed="false">
      <c r="A372" s="3" t="n">
        <v>202660001543</v>
      </c>
      <c r="B372" s="3"/>
      <c r="C372" s="3"/>
      <c r="D372" s="3" t="n">
        <v>20</v>
      </c>
      <c r="E372" s="3" t="s">
        <v>69</v>
      </c>
      <c r="F372" s="3"/>
      <c r="G372" s="3"/>
      <c r="H372" s="4" t="n">
        <v>46055</v>
      </c>
      <c r="I372" s="5" t="n">
        <v>46290</v>
      </c>
      <c r="J372" s="3"/>
      <c r="K372" s="3"/>
      <c r="L372" s="3"/>
      <c r="M372" s="3"/>
      <c r="N372" s="3"/>
      <c r="O372" s="3" t="s">
        <v>81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 t="n">
        <v>23</v>
      </c>
      <c r="AC372" s="3" t="n">
        <v>1</v>
      </c>
      <c r="AD372" s="6" t="s">
        <v>46</v>
      </c>
      <c r="AE372" s="3" t="s">
        <v>52</v>
      </c>
      <c r="AF372" s="3"/>
      <c r="AG372" s="3"/>
      <c r="AH372" s="3"/>
      <c r="AI372" s="3"/>
      <c r="AJ372" s="3"/>
      <c r="AK372" s="3"/>
      <c r="AL372" s="7" t="n">
        <f aca="false">IF(A372="","",IF(COUNTIF(A372:A$2001,A372)=1,1,0))</f>
        <v>0</v>
      </c>
      <c r="AM372" s="7" t="n">
        <f aca="true">IF(I372="","",TODAY()-I372)</f>
        <v>0</v>
      </c>
      <c r="AN372" s="7" t="n">
        <f aca="false">IF(A372="","",IF(AND(E372&lt;&gt;"33 確認済",E372&lt;&gt;"36 送付中"),1,0))</f>
        <v>1</v>
      </c>
      <c r="AO372" s="7" t="n">
        <f aca="false">IF(A372="","",IF(AG372&lt;&gt;"",1,0))</f>
        <v>0</v>
      </c>
    </row>
    <row r="373" customFormat="false" ht="15" hidden="false" customHeight="false" outlineLevel="0" collapsed="false">
      <c r="A373" s="3" t="n">
        <v>202660001543</v>
      </c>
      <c r="B373" s="3"/>
      <c r="C373" s="3"/>
      <c r="D373" s="3" t="n">
        <v>20</v>
      </c>
      <c r="E373" s="3" t="s">
        <v>69</v>
      </c>
      <c r="F373" s="3"/>
      <c r="G373" s="3"/>
      <c r="H373" s="4" t="n">
        <v>46055</v>
      </c>
      <c r="I373" s="5" t="n">
        <v>46290</v>
      </c>
      <c r="J373" s="3"/>
      <c r="K373" s="3"/>
      <c r="L373" s="3"/>
      <c r="M373" s="3"/>
      <c r="N373" s="3"/>
      <c r="O373" s="3" t="s">
        <v>81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 t="n">
        <v>23</v>
      </c>
      <c r="AC373" s="3" t="n">
        <v>1</v>
      </c>
      <c r="AD373" s="6" t="s">
        <v>46</v>
      </c>
      <c r="AE373" s="3" t="s">
        <v>53</v>
      </c>
      <c r="AF373" s="3"/>
      <c r="AG373" s="3"/>
      <c r="AH373" s="3"/>
      <c r="AI373" s="3"/>
      <c r="AJ373" s="3"/>
      <c r="AK373" s="3"/>
      <c r="AL373" s="7" t="n">
        <f aca="false">IF(A373="","",IF(COUNTIF(A373:A$2001,A373)=1,1,0))</f>
        <v>1</v>
      </c>
      <c r="AM373" s="7" t="n">
        <f aca="true">IF(I373="","",TODAY()-I373)</f>
        <v>0</v>
      </c>
      <c r="AN373" s="7" t="n">
        <f aca="false">IF(A373="","",IF(AND(E373&lt;&gt;"33 確認済",E373&lt;&gt;"36 送付中"),1,0))</f>
        <v>1</v>
      </c>
      <c r="AO373" s="7" t="n">
        <f aca="false">IF(A373="","",IF(AG373&lt;&gt;"",1,0))</f>
        <v>0</v>
      </c>
    </row>
    <row r="374" customFormat="false" ht="15" hidden="false" customHeight="false" outlineLevel="0" collapsed="false">
      <c r="A374" s="3" t="n">
        <v>202660001544</v>
      </c>
      <c r="B374" s="3"/>
      <c r="C374" s="3"/>
      <c r="D374" s="3" t="n">
        <v>20</v>
      </c>
      <c r="E374" s="3" t="s">
        <v>69</v>
      </c>
      <c r="F374" s="3"/>
      <c r="G374" s="3"/>
      <c r="H374" s="4" t="n">
        <v>46055</v>
      </c>
      <c r="I374" s="5" t="n">
        <v>46290</v>
      </c>
      <c r="J374" s="3"/>
      <c r="K374" s="3"/>
      <c r="L374" s="3"/>
      <c r="M374" s="3"/>
      <c r="N374" s="3"/>
      <c r="O374" s="3" t="s">
        <v>81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 t="n">
        <v>23</v>
      </c>
      <c r="AC374" s="3" t="n">
        <v>1</v>
      </c>
      <c r="AD374" s="6" t="s">
        <v>46</v>
      </c>
      <c r="AE374" s="3" t="s">
        <v>52</v>
      </c>
      <c r="AF374" s="3"/>
      <c r="AG374" s="3"/>
      <c r="AH374" s="3"/>
      <c r="AI374" s="3"/>
      <c r="AJ374" s="3"/>
      <c r="AK374" s="3"/>
      <c r="AL374" s="7" t="n">
        <f aca="false">IF(A374="","",IF(COUNTIF(A374:A$2001,A374)=1,1,0))</f>
        <v>0</v>
      </c>
      <c r="AM374" s="7" t="n">
        <f aca="true">IF(I374="","",TODAY()-I374)</f>
        <v>0</v>
      </c>
      <c r="AN374" s="7" t="n">
        <f aca="false">IF(A374="","",IF(AND(E374&lt;&gt;"33 確認済",E374&lt;&gt;"36 送付中"),1,0))</f>
        <v>1</v>
      </c>
      <c r="AO374" s="7" t="n">
        <f aca="false">IF(A374="","",IF(AG374&lt;&gt;"",1,0))</f>
        <v>0</v>
      </c>
    </row>
    <row r="375" customFormat="false" ht="15" hidden="false" customHeight="false" outlineLevel="0" collapsed="false">
      <c r="A375" s="3" t="n">
        <v>202660001544</v>
      </c>
      <c r="B375" s="3"/>
      <c r="C375" s="3"/>
      <c r="D375" s="3" t="n">
        <v>20</v>
      </c>
      <c r="E375" s="3" t="s">
        <v>69</v>
      </c>
      <c r="F375" s="3"/>
      <c r="G375" s="3"/>
      <c r="H375" s="4" t="n">
        <v>46055</v>
      </c>
      <c r="I375" s="5" t="n">
        <v>46290</v>
      </c>
      <c r="J375" s="3"/>
      <c r="K375" s="3"/>
      <c r="L375" s="3"/>
      <c r="M375" s="3"/>
      <c r="N375" s="3"/>
      <c r="O375" s="3" t="s">
        <v>81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 t="n">
        <v>23</v>
      </c>
      <c r="AC375" s="3" t="n">
        <v>1</v>
      </c>
      <c r="AD375" s="6" t="s">
        <v>46</v>
      </c>
      <c r="AE375" s="3" t="s">
        <v>53</v>
      </c>
      <c r="AF375" s="3"/>
      <c r="AG375" s="3"/>
      <c r="AH375" s="3"/>
      <c r="AI375" s="3"/>
      <c r="AJ375" s="3"/>
      <c r="AK375" s="3"/>
      <c r="AL375" s="7" t="n">
        <f aca="false">IF(A375="","",IF(COUNTIF(A375:A$2001,A375)=1,1,0))</f>
        <v>1</v>
      </c>
      <c r="AM375" s="7" t="n">
        <f aca="true">IF(I375="","",TODAY()-I375)</f>
        <v>0</v>
      </c>
      <c r="AN375" s="7" t="n">
        <f aca="false">IF(A375="","",IF(AND(E375&lt;&gt;"33 確認済",E375&lt;&gt;"36 送付中"),1,0))</f>
        <v>1</v>
      </c>
      <c r="AO375" s="7" t="n">
        <f aca="false">IF(A375="","",IF(AG375&lt;&gt;"",1,0))</f>
        <v>0</v>
      </c>
    </row>
    <row r="376" customFormat="false" ht="15" hidden="false" customHeight="false" outlineLevel="0" collapsed="false">
      <c r="A376" s="3" t="n">
        <v>202660001546</v>
      </c>
      <c r="B376" s="3"/>
      <c r="C376" s="3"/>
      <c r="D376" s="3" t="n">
        <v>20</v>
      </c>
      <c r="E376" s="3" t="s">
        <v>69</v>
      </c>
      <c r="F376" s="3"/>
      <c r="G376" s="3"/>
      <c r="H376" s="4" t="n">
        <v>46143</v>
      </c>
      <c r="I376" s="5" t="n">
        <v>46290</v>
      </c>
      <c r="J376" s="3"/>
      <c r="K376" s="3"/>
      <c r="L376" s="3"/>
      <c r="M376" s="3"/>
      <c r="N376" s="3"/>
      <c r="O376" s="3" t="s">
        <v>81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 t="n">
        <v>49</v>
      </c>
      <c r="AC376" s="3" t="n">
        <v>0</v>
      </c>
      <c r="AD376" s="6" t="s">
        <v>43</v>
      </c>
      <c r="AE376" s="3" t="s">
        <v>83</v>
      </c>
      <c r="AF376" s="3"/>
      <c r="AG376" s="3"/>
      <c r="AH376" s="6" t="s">
        <v>43</v>
      </c>
      <c r="AI376" s="3"/>
      <c r="AJ376" s="3"/>
      <c r="AK376" s="3"/>
      <c r="AL376" s="7" t="n">
        <f aca="false">IF(A376="","",IF(COUNTIF(A376:A$2001,A376)=1,1,0))</f>
        <v>1</v>
      </c>
      <c r="AM376" s="7" t="n">
        <f aca="true">IF(I376="","",TODAY()-I376)</f>
        <v>0</v>
      </c>
      <c r="AN376" s="7" t="n">
        <f aca="false">IF(A376="","",IF(AND(E376&lt;&gt;"33 確認済",E376&lt;&gt;"36 送付中"),1,0))</f>
        <v>1</v>
      </c>
      <c r="AO376" s="7" t="n">
        <f aca="false">IF(A376="","",IF(AG376&lt;&gt;"",1,0))</f>
        <v>0</v>
      </c>
    </row>
    <row r="377" customFormat="false" ht="15" hidden="false" customHeight="false" outlineLevel="0" collapsed="false">
      <c r="AL377" s="7" t="str">
        <f aca="false">IF(A377="","",IF(COUNTIF(A377:A$2001,A377)=1,1,0))</f>
        <v/>
      </c>
      <c r="AM377" s="7" t="str">
        <f aca="true">IF(I377="","",TODAY()-I377)</f>
        <v/>
      </c>
      <c r="AN377" s="7" t="str">
        <f aca="false">IF(A377="","",IF(AND(E377&lt;&gt;"33 確認済",E377&lt;&gt;"36 送付中"),1,0))</f>
        <v/>
      </c>
      <c r="AO377" s="7" t="str">
        <f aca="false">IF(A377="","",IF(AG377&lt;&gt;"",1,0))</f>
        <v/>
      </c>
    </row>
    <row r="378" customFormat="false" ht="15" hidden="false" customHeight="false" outlineLevel="0" collapsed="false">
      <c r="AL378" s="7" t="str">
        <f aca="false">IF(A378="","",IF(COUNTIF(A378:A$2001,A378)=1,1,0))</f>
        <v/>
      </c>
      <c r="AM378" s="7" t="str">
        <f aca="true">IF(I378="","",TODAY()-I378)</f>
        <v/>
      </c>
      <c r="AN378" s="7" t="str">
        <f aca="false">IF(A378="","",IF(AND(E378&lt;&gt;"33 確認済",E378&lt;&gt;"36 送付中"),1,0))</f>
        <v/>
      </c>
      <c r="AO378" s="7" t="str">
        <f aca="false">IF(A378="","",IF(AG378&lt;&gt;"",1,0))</f>
        <v/>
      </c>
    </row>
    <row r="379" customFormat="false" ht="15" hidden="false" customHeight="false" outlineLevel="0" collapsed="false">
      <c r="AL379" s="7" t="str">
        <f aca="false">IF(A379="","",IF(COUNTIF(A379:A$2001,A379)=1,1,0))</f>
        <v/>
      </c>
      <c r="AM379" s="7" t="str">
        <f aca="true">IF(I379="","",TODAY()-I379)</f>
        <v/>
      </c>
      <c r="AN379" s="7" t="str">
        <f aca="false">IF(A379="","",IF(AND(E379&lt;&gt;"33 確認済",E379&lt;&gt;"36 送付中"),1,0))</f>
        <v/>
      </c>
      <c r="AO379" s="7" t="str">
        <f aca="false">IF(A379="","",IF(AG379&lt;&gt;"",1,0))</f>
        <v/>
      </c>
    </row>
    <row r="380" customFormat="false" ht="15" hidden="false" customHeight="false" outlineLevel="0" collapsed="false">
      <c r="AL380" s="7" t="str">
        <f aca="false">IF(A380="","",IF(COUNTIF(A380:A$2001,A380)=1,1,0))</f>
        <v/>
      </c>
      <c r="AM380" s="7" t="str">
        <f aca="true">IF(I380="","",TODAY()-I380)</f>
        <v/>
      </c>
      <c r="AN380" s="7" t="str">
        <f aca="false">IF(A380="","",IF(AND(E380&lt;&gt;"33 確認済",E380&lt;&gt;"36 送付中"),1,0))</f>
        <v/>
      </c>
      <c r="AO380" s="7" t="str">
        <f aca="false">IF(A380="","",IF(AG380&lt;&gt;"",1,0))</f>
        <v/>
      </c>
    </row>
    <row r="381" customFormat="false" ht="15" hidden="false" customHeight="false" outlineLevel="0" collapsed="false">
      <c r="AL381" s="7" t="str">
        <f aca="false">IF(A381="","",IF(COUNTIF(A381:A$2001,A381)=1,1,0))</f>
        <v/>
      </c>
      <c r="AM381" s="7" t="str">
        <f aca="true">IF(I381="","",TODAY()-I381)</f>
        <v/>
      </c>
      <c r="AN381" s="7" t="str">
        <f aca="false">IF(A381="","",IF(AND(E381&lt;&gt;"33 確認済",E381&lt;&gt;"36 送付中"),1,0))</f>
        <v/>
      </c>
      <c r="AO381" s="7" t="str">
        <f aca="false">IF(A381="","",IF(AG381&lt;&gt;"",1,0))</f>
        <v/>
      </c>
    </row>
    <row r="382" customFormat="false" ht="15" hidden="false" customHeight="false" outlineLevel="0" collapsed="false">
      <c r="AL382" s="7" t="str">
        <f aca="false">IF(A382="","",IF(COUNTIF(A382:A$2001,A382)=1,1,0))</f>
        <v/>
      </c>
      <c r="AM382" s="7" t="str">
        <f aca="true">IF(I382="","",TODAY()-I382)</f>
        <v/>
      </c>
      <c r="AN382" s="7" t="str">
        <f aca="false">IF(A382="","",IF(AND(E382&lt;&gt;"33 確認済",E382&lt;&gt;"36 送付中"),1,0))</f>
        <v/>
      </c>
      <c r="AO382" s="7" t="str">
        <f aca="false">IF(A382="","",IF(AG382&lt;&gt;"",1,0))</f>
        <v/>
      </c>
    </row>
    <row r="383" customFormat="false" ht="15" hidden="false" customHeight="false" outlineLevel="0" collapsed="false">
      <c r="AL383" s="7" t="str">
        <f aca="false">IF(A383="","",IF(COUNTIF(A383:A$2001,A383)=1,1,0))</f>
        <v/>
      </c>
      <c r="AM383" s="7" t="str">
        <f aca="true">IF(I383="","",TODAY()-I383)</f>
        <v/>
      </c>
      <c r="AN383" s="7" t="str">
        <f aca="false">IF(A383="","",IF(AND(E383&lt;&gt;"33 確認済",E383&lt;&gt;"36 送付中"),1,0))</f>
        <v/>
      </c>
      <c r="AO383" s="7" t="str">
        <f aca="false">IF(A383="","",IF(AG383&lt;&gt;"",1,0))</f>
        <v/>
      </c>
    </row>
    <row r="384" customFormat="false" ht="15" hidden="false" customHeight="false" outlineLevel="0" collapsed="false">
      <c r="AL384" s="7" t="str">
        <f aca="false">IF(A384="","",IF(COUNTIF(A384:A$2001,A384)=1,1,0))</f>
        <v/>
      </c>
      <c r="AM384" s="7" t="str">
        <f aca="true">IF(I384="","",TODAY()-I384)</f>
        <v/>
      </c>
      <c r="AN384" s="7" t="str">
        <f aca="false">IF(A384="","",IF(AND(E384&lt;&gt;"33 確認済",E384&lt;&gt;"36 送付中"),1,0))</f>
        <v/>
      </c>
      <c r="AO384" s="7" t="str">
        <f aca="false">IF(A384="","",IF(AG384&lt;&gt;"",1,0))</f>
        <v/>
      </c>
    </row>
    <row r="385" customFormat="false" ht="15" hidden="false" customHeight="false" outlineLevel="0" collapsed="false">
      <c r="AL385" s="7" t="str">
        <f aca="false">IF(A385="","",IF(COUNTIF(A385:A$2001,A385)=1,1,0))</f>
        <v/>
      </c>
      <c r="AM385" s="7" t="str">
        <f aca="true">IF(I385="","",TODAY()-I385)</f>
        <v/>
      </c>
      <c r="AN385" s="7" t="str">
        <f aca="false">IF(A385="","",IF(AND(E385&lt;&gt;"33 確認済",E385&lt;&gt;"36 送付中"),1,0))</f>
        <v/>
      </c>
      <c r="AO385" s="7" t="str">
        <f aca="false">IF(A385="","",IF(AG385&lt;&gt;"",1,0))</f>
        <v/>
      </c>
    </row>
    <row r="386" customFormat="false" ht="15" hidden="false" customHeight="false" outlineLevel="0" collapsed="false">
      <c r="AL386" s="7" t="str">
        <f aca="false">IF(A386="","",IF(COUNTIF(A386:A$2001,A386)=1,1,0))</f>
        <v/>
      </c>
      <c r="AM386" s="7" t="str">
        <f aca="true">IF(I386="","",TODAY()-I386)</f>
        <v/>
      </c>
      <c r="AN386" s="7" t="str">
        <f aca="false">IF(A386="","",IF(AND(E386&lt;&gt;"33 確認済",E386&lt;&gt;"36 送付中"),1,0))</f>
        <v/>
      </c>
      <c r="AO386" s="7" t="str">
        <f aca="false">IF(A386="","",IF(AG386&lt;&gt;"",1,0))</f>
        <v/>
      </c>
    </row>
    <row r="387" customFormat="false" ht="15" hidden="false" customHeight="false" outlineLevel="0" collapsed="false">
      <c r="AL387" s="7" t="str">
        <f aca="false">IF(A387="","",IF(COUNTIF(A387:A$2001,A387)=1,1,0))</f>
        <v/>
      </c>
      <c r="AM387" s="7" t="str">
        <f aca="true">IF(I387="","",TODAY()-I387)</f>
        <v/>
      </c>
      <c r="AN387" s="7" t="str">
        <f aca="false">IF(A387="","",IF(AND(E387&lt;&gt;"33 確認済",E387&lt;&gt;"36 送付中"),1,0))</f>
        <v/>
      </c>
      <c r="AO387" s="7" t="str">
        <f aca="false">IF(A387="","",IF(AG387&lt;&gt;"",1,0))</f>
        <v/>
      </c>
    </row>
    <row r="388" customFormat="false" ht="15" hidden="false" customHeight="false" outlineLevel="0" collapsed="false">
      <c r="AL388" s="7" t="str">
        <f aca="false">IF(A388="","",IF(COUNTIF(A388:A$2001,A388)=1,1,0))</f>
        <v/>
      </c>
      <c r="AM388" s="7" t="str">
        <f aca="true">IF(I388="","",TODAY()-I388)</f>
        <v/>
      </c>
      <c r="AN388" s="7" t="str">
        <f aca="false">IF(A388="","",IF(AND(E388&lt;&gt;"33 確認済",E388&lt;&gt;"36 送付中"),1,0))</f>
        <v/>
      </c>
      <c r="AO388" s="7" t="str">
        <f aca="false">IF(A388="","",IF(AG388&lt;&gt;"",1,0))</f>
        <v/>
      </c>
    </row>
    <row r="389" customFormat="false" ht="15" hidden="false" customHeight="false" outlineLevel="0" collapsed="false">
      <c r="AL389" s="7" t="str">
        <f aca="false">IF(A389="","",IF(COUNTIF(A389:A$2001,A389)=1,1,0))</f>
        <v/>
      </c>
      <c r="AM389" s="7" t="str">
        <f aca="true">IF(I389="","",TODAY()-I389)</f>
        <v/>
      </c>
      <c r="AN389" s="7" t="str">
        <f aca="false">IF(A389="","",IF(AND(E389&lt;&gt;"33 確認済",E389&lt;&gt;"36 送付中"),1,0))</f>
        <v/>
      </c>
      <c r="AO389" s="7" t="str">
        <f aca="false">IF(A389="","",IF(AG389&lt;&gt;"",1,0))</f>
        <v/>
      </c>
    </row>
    <row r="390" customFormat="false" ht="15" hidden="false" customHeight="false" outlineLevel="0" collapsed="false">
      <c r="AL390" s="7" t="str">
        <f aca="false">IF(A390="","",IF(COUNTIF(A390:A$2001,A390)=1,1,0))</f>
        <v/>
      </c>
      <c r="AM390" s="7" t="str">
        <f aca="true">IF(I390="","",TODAY()-I390)</f>
        <v/>
      </c>
      <c r="AN390" s="7" t="str">
        <f aca="false">IF(A390="","",IF(AND(E390&lt;&gt;"33 確認済",E390&lt;&gt;"36 送付中"),1,0))</f>
        <v/>
      </c>
      <c r="AO390" s="7" t="str">
        <f aca="false">IF(A390="","",IF(AG390&lt;&gt;"",1,0))</f>
        <v/>
      </c>
    </row>
    <row r="391" customFormat="false" ht="15" hidden="false" customHeight="false" outlineLevel="0" collapsed="false">
      <c r="AL391" s="7" t="str">
        <f aca="false">IF(A391="","",IF(COUNTIF(A391:A$2001,A391)=1,1,0))</f>
        <v/>
      </c>
      <c r="AM391" s="7" t="str">
        <f aca="true">IF(I391="","",TODAY()-I391)</f>
        <v/>
      </c>
      <c r="AN391" s="7" t="str">
        <f aca="false">IF(A391="","",IF(AND(E391&lt;&gt;"33 確認済",E391&lt;&gt;"36 送付中"),1,0))</f>
        <v/>
      </c>
      <c r="AO391" s="7" t="str">
        <f aca="false">IF(A391="","",IF(AG391&lt;&gt;"",1,0))</f>
        <v/>
      </c>
    </row>
    <row r="392" customFormat="false" ht="15" hidden="false" customHeight="false" outlineLevel="0" collapsed="false">
      <c r="AL392" s="7" t="str">
        <f aca="false">IF(A392="","",IF(COUNTIF(A392:A$2001,A392)=1,1,0))</f>
        <v/>
      </c>
      <c r="AM392" s="7" t="str">
        <f aca="true">IF(I392="","",TODAY()-I392)</f>
        <v/>
      </c>
      <c r="AN392" s="7" t="str">
        <f aca="false">IF(A392="","",IF(AND(E392&lt;&gt;"33 確認済",E392&lt;&gt;"36 送付中"),1,0))</f>
        <v/>
      </c>
      <c r="AO392" s="7" t="str">
        <f aca="false">IF(A392="","",IF(AG392&lt;&gt;"",1,0))</f>
        <v/>
      </c>
    </row>
    <row r="393" customFormat="false" ht="15" hidden="false" customHeight="false" outlineLevel="0" collapsed="false">
      <c r="AL393" s="7" t="str">
        <f aca="false">IF(A393="","",IF(COUNTIF(A393:A$2001,A393)=1,1,0))</f>
        <v/>
      </c>
      <c r="AM393" s="7" t="str">
        <f aca="true">IF(I393="","",TODAY()-I393)</f>
        <v/>
      </c>
      <c r="AN393" s="7" t="str">
        <f aca="false">IF(A393="","",IF(AND(E393&lt;&gt;"33 確認済",E393&lt;&gt;"36 送付中"),1,0))</f>
        <v/>
      </c>
      <c r="AO393" s="7" t="str">
        <f aca="false">IF(A393="","",IF(AG393&lt;&gt;"",1,0))</f>
        <v/>
      </c>
    </row>
    <row r="394" customFormat="false" ht="15" hidden="false" customHeight="false" outlineLevel="0" collapsed="false">
      <c r="AL394" s="7" t="str">
        <f aca="false">IF(A394="","",IF(COUNTIF(A394:A$2001,A394)=1,1,0))</f>
        <v/>
      </c>
      <c r="AM394" s="7" t="str">
        <f aca="true">IF(I394="","",TODAY()-I394)</f>
        <v/>
      </c>
      <c r="AN394" s="7" t="str">
        <f aca="false">IF(A394="","",IF(AND(E394&lt;&gt;"33 確認済",E394&lt;&gt;"36 送付中"),1,0))</f>
        <v/>
      </c>
      <c r="AO394" s="7" t="str">
        <f aca="false">IF(A394="","",IF(AG394&lt;&gt;"",1,0))</f>
        <v/>
      </c>
    </row>
    <row r="395" customFormat="false" ht="15" hidden="false" customHeight="false" outlineLevel="0" collapsed="false">
      <c r="AL395" s="7" t="str">
        <f aca="false">IF(A395="","",IF(COUNTIF(A395:A$2001,A395)=1,1,0))</f>
        <v/>
      </c>
      <c r="AM395" s="7" t="str">
        <f aca="true">IF(I395="","",TODAY()-I395)</f>
        <v/>
      </c>
      <c r="AN395" s="7" t="str">
        <f aca="false">IF(A395="","",IF(AND(E395&lt;&gt;"33 確認済",E395&lt;&gt;"36 送付中"),1,0))</f>
        <v/>
      </c>
      <c r="AO395" s="7" t="str">
        <f aca="false">IF(A395="","",IF(AG395&lt;&gt;"",1,0))</f>
        <v/>
      </c>
    </row>
    <row r="396" customFormat="false" ht="15" hidden="false" customHeight="false" outlineLevel="0" collapsed="false">
      <c r="AL396" s="7" t="str">
        <f aca="false">IF(A396="","",IF(COUNTIF(A396:A$2001,A396)=1,1,0))</f>
        <v/>
      </c>
      <c r="AM396" s="7" t="str">
        <f aca="true">IF(I396="","",TODAY()-I396)</f>
        <v/>
      </c>
      <c r="AN396" s="7" t="str">
        <f aca="false">IF(A396="","",IF(AND(E396&lt;&gt;"33 確認済",E396&lt;&gt;"36 送付中"),1,0))</f>
        <v/>
      </c>
      <c r="AO396" s="7" t="str">
        <f aca="false">IF(A396="","",IF(AG396&lt;&gt;"",1,0))</f>
        <v/>
      </c>
    </row>
    <row r="397" customFormat="false" ht="15" hidden="false" customHeight="false" outlineLevel="0" collapsed="false">
      <c r="AL397" s="7" t="str">
        <f aca="false">IF(A397="","",IF(COUNTIF(A397:A$2001,A397)=1,1,0))</f>
        <v/>
      </c>
      <c r="AM397" s="7" t="str">
        <f aca="true">IF(I397="","",TODAY()-I397)</f>
        <v/>
      </c>
      <c r="AN397" s="7" t="str">
        <f aca="false">IF(A397="","",IF(AND(E397&lt;&gt;"33 確認済",E397&lt;&gt;"36 送付中"),1,0))</f>
        <v/>
      </c>
      <c r="AO397" s="7" t="str">
        <f aca="false">IF(A397="","",IF(AG397&lt;&gt;"",1,0))</f>
        <v/>
      </c>
    </row>
    <row r="398" customFormat="false" ht="15" hidden="false" customHeight="false" outlineLevel="0" collapsed="false">
      <c r="AL398" s="7" t="str">
        <f aca="false">IF(A398="","",IF(COUNTIF(A398:A$2001,A398)=1,1,0))</f>
        <v/>
      </c>
      <c r="AM398" s="7" t="str">
        <f aca="true">IF(I398="","",TODAY()-I398)</f>
        <v/>
      </c>
      <c r="AN398" s="7" t="str">
        <f aca="false">IF(A398="","",IF(AND(E398&lt;&gt;"33 確認済",E398&lt;&gt;"36 送付中"),1,0))</f>
        <v/>
      </c>
      <c r="AO398" s="7" t="str">
        <f aca="false">IF(A398="","",IF(AG398&lt;&gt;"",1,0))</f>
        <v/>
      </c>
    </row>
    <row r="399" customFormat="false" ht="15" hidden="false" customHeight="false" outlineLevel="0" collapsed="false">
      <c r="AL399" s="7" t="str">
        <f aca="false">IF(A399="","",IF(COUNTIF(A399:A$2001,A399)=1,1,0))</f>
        <v/>
      </c>
      <c r="AM399" s="7" t="str">
        <f aca="true">IF(I399="","",TODAY()-I399)</f>
        <v/>
      </c>
      <c r="AN399" s="7" t="str">
        <f aca="false">IF(A399="","",IF(AND(E399&lt;&gt;"33 確認済",E399&lt;&gt;"36 送付中"),1,0))</f>
        <v/>
      </c>
      <c r="AO399" s="7" t="str">
        <f aca="false">IF(A399="","",IF(AG399&lt;&gt;"",1,0))</f>
        <v/>
      </c>
    </row>
    <row r="400" customFormat="false" ht="15" hidden="false" customHeight="false" outlineLevel="0" collapsed="false">
      <c r="AL400" s="7" t="str">
        <f aca="false">IF(A400="","",IF(COUNTIF(A400:A$2001,A400)=1,1,0))</f>
        <v/>
      </c>
      <c r="AM400" s="7" t="str">
        <f aca="true">IF(I400="","",TODAY()-I400)</f>
        <v/>
      </c>
      <c r="AN400" s="7" t="str">
        <f aca="false">IF(A400="","",IF(AND(E400&lt;&gt;"33 確認済",E400&lt;&gt;"36 送付中"),1,0))</f>
        <v/>
      </c>
      <c r="AO400" s="7" t="str">
        <f aca="false">IF(A400="","",IF(AG400&lt;&gt;"",1,0))</f>
        <v/>
      </c>
    </row>
    <row r="401" customFormat="false" ht="15" hidden="false" customHeight="false" outlineLevel="0" collapsed="false">
      <c r="AL401" s="7" t="str">
        <f aca="false">IF(A401="","",IF(COUNTIF(A401:A$2001,A401)=1,1,0))</f>
        <v/>
      </c>
      <c r="AM401" s="7" t="str">
        <f aca="true">IF(I401="","",TODAY()-I401)</f>
        <v/>
      </c>
      <c r="AN401" s="7" t="str">
        <f aca="false">IF(A401="","",IF(AND(E401&lt;&gt;"33 確認済",E401&lt;&gt;"36 送付中"),1,0))</f>
        <v/>
      </c>
      <c r="AO401" s="7" t="str">
        <f aca="false">IF(A401="","",IF(AG401&lt;&gt;"",1,0))</f>
        <v/>
      </c>
    </row>
    <row r="402" customFormat="false" ht="15" hidden="false" customHeight="false" outlineLevel="0" collapsed="false">
      <c r="AL402" s="7" t="str">
        <f aca="false">IF(A402="","",IF(COUNTIF(A402:A$2001,A402)=1,1,0))</f>
        <v/>
      </c>
      <c r="AM402" s="7" t="str">
        <f aca="true">IF(I402="","",TODAY()-I402)</f>
        <v/>
      </c>
      <c r="AN402" s="7" t="str">
        <f aca="false">IF(A402="","",IF(AND(E402&lt;&gt;"33 確認済",E402&lt;&gt;"36 送付中"),1,0))</f>
        <v/>
      </c>
      <c r="AO402" s="7" t="str">
        <f aca="false">IF(A402="","",IF(AG402&lt;&gt;"",1,0))</f>
        <v/>
      </c>
    </row>
    <row r="403" customFormat="false" ht="15" hidden="false" customHeight="false" outlineLevel="0" collapsed="false">
      <c r="AL403" s="7" t="str">
        <f aca="false">IF(A403="","",IF(COUNTIF(A403:A$2001,A403)=1,1,0))</f>
        <v/>
      </c>
      <c r="AM403" s="7" t="str">
        <f aca="true">IF(I403="","",TODAY()-I403)</f>
        <v/>
      </c>
      <c r="AN403" s="7" t="str">
        <f aca="false">IF(A403="","",IF(AND(E403&lt;&gt;"33 確認済",E403&lt;&gt;"36 送付中"),1,0))</f>
        <v/>
      </c>
      <c r="AO403" s="7" t="str">
        <f aca="false">IF(A403="","",IF(AG403&lt;&gt;"",1,0))</f>
        <v/>
      </c>
    </row>
    <row r="404" customFormat="false" ht="15" hidden="false" customHeight="false" outlineLevel="0" collapsed="false">
      <c r="AL404" s="7" t="str">
        <f aca="false">IF(A404="","",IF(COUNTIF(A404:A$2001,A404)=1,1,0))</f>
        <v/>
      </c>
      <c r="AM404" s="7" t="str">
        <f aca="true">IF(I404="","",TODAY()-I404)</f>
        <v/>
      </c>
      <c r="AN404" s="7" t="str">
        <f aca="false">IF(A404="","",IF(AND(E404&lt;&gt;"33 確認済",E404&lt;&gt;"36 送付中"),1,0))</f>
        <v/>
      </c>
      <c r="AO404" s="7" t="str">
        <f aca="false">IF(A404="","",IF(AG404&lt;&gt;"",1,0))</f>
        <v/>
      </c>
    </row>
    <row r="405" customFormat="false" ht="15" hidden="false" customHeight="false" outlineLevel="0" collapsed="false">
      <c r="AL405" s="7" t="str">
        <f aca="false">IF(A405="","",IF(COUNTIF(A405:A$2001,A405)=1,1,0))</f>
        <v/>
      </c>
      <c r="AM405" s="7" t="str">
        <f aca="true">IF(I405="","",TODAY()-I405)</f>
        <v/>
      </c>
      <c r="AN405" s="7" t="str">
        <f aca="false">IF(A405="","",IF(AND(E405&lt;&gt;"33 確認済",E405&lt;&gt;"36 送付中"),1,0))</f>
        <v/>
      </c>
      <c r="AO405" s="7" t="str">
        <f aca="false">IF(A405="","",IF(AG405&lt;&gt;"",1,0))</f>
        <v/>
      </c>
    </row>
    <row r="406" customFormat="false" ht="15" hidden="false" customHeight="false" outlineLevel="0" collapsed="false">
      <c r="AL406" s="7" t="str">
        <f aca="false">IF(A406="","",IF(COUNTIF(A406:A$2001,A406)=1,1,0))</f>
        <v/>
      </c>
      <c r="AM406" s="7" t="str">
        <f aca="true">IF(I406="","",TODAY()-I406)</f>
        <v/>
      </c>
      <c r="AN406" s="7" t="str">
        <f aca="false">IF(A406="","",IF(AND(E406&lt;&gt;"33 確認済",E406&lt;&gt;"36 送付中"),1,0))</f>
        <v/>
      </c>
      <c r="AO406" s="7" t="str">
        <f aca="false">IF(A406="","",IF(AG406&lt;&gt;"",1,0))</f>
        <v/>
      </c>
    </row>
    <row r="407" customFormat="false" ht="15" hidden="false" customHeight="false" outlineLevel="0" collapsed="false">
      <c r="AL407" s="7" t="str">
        <f aca="false">IF(A407="","",IF(COUNTIF(A407:A$2001,A407)=1,1,0))</f>
        <v/>
      </c>
      <c r="AM407" s="7" t="str">
        <f aca="true">IF(I407="","",TODAY()-I407)</f>
        <v/>
      </c>
      <c r="AN407" s="7" t="str">
        <f aca="false">IF(A407="","",IF(AND(E407&lt;&gt;"33 確認済",E407&lt;&gt;"36 送付中"),1,0))</f>
        <v/>
      </c>
      <c r="AO407" s="7" t="str">
        <f aca="false">IF(A407="","",IF(AG407&lt;&gt;"",1,0))</f>
        <v/>
      </c>
    </row>
    <row r="408" customFormat="false" ht="15" hidden="false" customHeight="false" outlineLevel="0" collapsed="false">
      <c r="AL408" s="7" t="str">
        <f aca="false">IF(A408="","",IF(COUNTIF(A408:A$2001,A408)=1,1,0))</f>
        <v/>
      </c>
      <c r="AM408" s="7" t="str">
        <f aca="true">IF(I408="","",TODAY()-I408)</f>
        <v/>
      </c>
      <c r="AN408" s="7" t="str">
        <f aca="false">IF(A408="","",IF(AND(E408&lt;&gt;"33 確認済",E408&lt;&gt;"36 送付中"),1,0))</f>
        <v/>
      </c>
      <c r="AO408" s="7" t="str">
        <f aca="false">IF(A408="","",IF(AG408&lt;&gt;"",1,0))</f>
        <v/>
      </c>
    </row>
    <row r="409" customFormat="false" ht="15" hidden="false" customHeight="false" outlineLevel="0" collapsed="false">
      <c r="AL409" s="7" t="str">
        <f aca="false">IF(A409="","",IF(COUNTIF(A409:A$2001,A409)=1,1,0))</f>
        <v/>
      </c>
      <c r="AM409" s="7" t="str">
        <f aca="true">IF(I409="","",TODAY()-I409)</f>
        <v/>
      </c>
      <c r="AN409" s="7" t="str">
        <f aca="false">IF(A409="","",IF(AND(E409&lt;&gt;"33 確認済",E409&lt;&gt;"36 送付中"),1,0))</f>
        <v/>
      </c>
      <c r="AO409" s="7" t="str">
        <f aca="false">IF(A409="","",IF(AG409&lt;&gt;"",1,0))</f>
        <v/>
      </c>
    </row>
    <row r="410" customFormat="false" ht="15" hidden="false" customHeight="false" outlineLevel="0" collapsed="false">
      <c r="AL410" s="7" t="str">
        <f aca="false">IF(A410="","",IF(COUNTIF(A410:A$2001,A410)=1,1,0))</f>
        <v/>
      </c>
      <c r="AM410" s="7" t="str">
        <f aca="true">IF(I410="","",TODAY()-I410)</f>
        <v/>
      </c>
      <c r="AN410" s="7" t="str">
        <f aca="false">IF(A410="","",IF(AND(E410&lt;&gt;"33 確認済",E410&lt;&gt;"36 送付中"),1,0))</f>
        <v/>
      </c>
      <c r="AO410" s="7" t="str">
        <f aca="false">IF(A410="","",IF(AG410&lt;&gt;"",1,0))</f>
        <v/>
      </c>
    </row>
    <row r="411" customFormat="false" ht="15" hidden="false" customHeight="false" outlineLevel="0" collapsed="false">
      <c r="AL411" s="7" t="str">
        <f aca="false">IF(A411="","",IF(COUNTIF(A411:A$2001,A411)=1,1,0))</f>
        <v/>
      </c>
      <c r="AM411" s="7" t="str">
        <f aca="true">IF(I411="","",TODAY()-I411)</f>
        <v/>
      </c>
      <c r="AN411" s="7" t="str">
        <f aca="false">IF(A411="","",IF(AND(E411&lt;&gt;"33 確認済",E411&lt;&gt;"36 送付中"),1,0))</f>
        <v/>
      </c>
      <c r="AO411" s="7" t="str">
        <f aca="false">IF(A411="","",IF(AG411&lt;&gt;"",1,0))</f>
        <v/>
      </c>
    </row>
    <row r="412" customFormat="false" ht="15" hidden="false" customHeight="false" outlineLevel="0" collapsed="false">
      <c r="AL412" s="7" t="str">
        <f aca="false">IF(A412="","",IF(COUNTIF(A412:A$2001,A412)=1,1,0))</f>
        <v/>
      </c>
      <c r="AM412" s="7" t="str">
        <f aca="true">IF(I412="","",TODAY()-I412)</f>
        <v/>
      </c>
      <c r="AN412" s="7" t="str">
        <f aca="false">IF(A412="","",IF(AND(E412&lt;&gt;"33 確認済",E412&lt;&gt;"36 送付中"),1,0))</f>
        <v/>
      </c>
      <c r="AO412" s="7" t="str">
        <f aca="false">IF(A412="","",IF(AG412&lt;&gt;"",1,0))</f>
        <v/>
      </c>
    </row>
    <row r="413" customFormat="false" ht="15" hidden="false" customHeight="false" outlineLevel="0" collapsed="false">
      <c r="AL413" s="7" t="str">
        <f aca="false">IF(A413="","",IF(COUNTIF(A413:A$2001,A413)=1,1,0))</f>
        <v/>
      </c>
      <c r="AM413" s="7" t="str">
        <f aca="true">IF(I413="","",TODAY()-I413)</f>
        <v/>
      </c>
      <c r="AN413" s="7" t="str">
        <f aca="false">IF(A413="","",IF(AND(E413&lt;&gt;"33 確認済",E413&lt;&gt;"36 送付中"),1,0))</f>
        <v/>
      </c>
      <c r="AO413" s="7" t="str">
        <f aca="false">IF(A413="","",IF(AG413&lt;&gt;"",1,0))</f>
        <v/>
      </c>
    </row>
    <row r="414" customFormat="false" ht="15" hidden="false" customHeight="false" outlineLevel="0" collapsed="false">
      <c r="AL414" s="7" t="str">
        <f aca="false">IF(A414="","",IF(COUNTIF(A414:A$2001,A414)=1,1,0))</f>
        <v/>
      </c>
      <c r="AM414" s="7" t="str">
        <f aca="true">IF(I414="","",TODAY()-I414)</f>
        <v/>
      </c>
      <c r="AN414" s="7" t="str">
        <f aca="false">IF(A414="","",IF(AND(E414&lt;&gt;"33 確認済",E414&lt;&gt;"36 送付中"),1,0))</f>
        <v/>
      </c>
      <c r="AO414" s="7" t="str">
        <f aca="false">IF(A414="","",IF(AG414&lt;&gt;"",1,0))</f>
        <v/>
      </c>
    </row>
    <row r="415" customFormat="false" ht="15" hidden="false" customHeight="false" outlineLevel="0" collapsed="false">
      <c r="AL415" s="7" t="str">
        <f aca="false">IF(A415="","",IF(COUNTIF(A415:A$2001,A415)=1,1,0))</f>
        <v/>
      </c>
      <c r="AM415" s="7" t="str">
        <f aca="true">IF(I415="","",TODAY()-I415)</f>
        <v/>
      </c>
      <c r="AN415" s="7" t="str">
        <f aca="false">IF(A415="","",IF(AND(E415&lt;&gt;"33 確認済",E415&lt;&gt;"36 送付中"),1,0))</f>
        <v/>
      </c>
      <c r="AO415" s="7" t="str">
        <f aca="false">IF(A415="","",IF(AG415&lt;&gt;"",1,0))</f>
        <v/>
      </c>
    </row>
    <row r="416" customFormat="false" ht="15" hidden="false" customHeight="false" outlineLevel="0" collapsed="false">
      <c r="AL416" s="7" t="str">
        <f aca="false">IF(A416="","",IF(COUNTIF(A416:A$2001,A416)=1,1,0))</f>
        <v/>
      </c>
      <c r="AM416" s="7" t="str">
        <f aca="true">IF(I416="","",TODAY()-I416)</f>
        <v/>
      </c>
      <c r="AN416" s="7" t="str">
        <f aca="false">IF(A416="","",IF(AND(E416&lt;&gt;"33 確認済",E416&lt;&gt;"36 送付中"),1,0))</f>
        <v/>
      </c>
      <c r="AO416" s="7" t="str">
        <f aca="false">IF(A416="","",IF(AG416&lt;&gt;"",1,0))</f>
        <v/>
      </c>
    </row>
    <row r="417" customFormat="false" ht="15" hidden="false" customHeight="false" outlineLevel="0" collapsed="false">
      <c r="AL417" s="7" t="str">
        <f aca="false">IF(A417="","",IF(COUNTIF(A417:A$2001,A417)=1,1,0))</f>
        <v/>
      </c>
      <c r="AM417" s="7" t="str">
        <f aca="true">IF(I417="","",TODAY()-I417)</f>
        <v/>
      </c>
      <c r="AN417" s="7" t="str">
        <f aca="false">IF(A417="","",IF(AND(E417&lt;&gt;"33 確認済",E417&lt;&gt;"36 送付中"),1,0))</f>
        <v/>
      </c>
      <c r="AO417" s="7" t="str">
        <f aca="false">IF(A417="","",IF(AG417&lt;&gt;"",1,0))</f>
        <v/>
      </c>
    </row>
    <row r="418" customFormat="false" ht="15" hidden="false" customHeight="false" outlineLevel="0" collapsed="false">
      <c r="AL418" s="7" t="str">
        <f aca="false">IF(A418="","",IF(COUNTIF(A418:A$2001,A418)=1,1,0))</f>
        <v/>
      </c>
      <c r="AM418" s="7" t="str">
        <f aca="true">IF(I418="","",TODAY()-I418)</f>
        <v/>
      </c>
      <c r="AN418" s="7" t="str">
        <f aca="false">IF(A418="","",IF(AND(E418&lt;&gt;"33 確認済",E418&lt;&gt;"36 送付中"),1,0))</f>
        <v/>
      </c>
      <c r="AO418" s="7" t="str">
        <f aca="false">IF(A418="","",IF(AG418&lt;&gt;"",1,0))</f>
        <v/>
      </c>
    </row>
    <row r="419" customFormat="false" ht="15" hidden="false" customHeight="false" outlineLevel="0" collapsed="false">
      <c r="AL419" s="7" t="str">
        <f aca="false">IF(A419="","",IF(COUNTIF(A419:A$2001,A419)=1,1,0))</f>
        <v/>
      </c>
      <c r="AM419" s="7" t="str">
        <f aca="true">IF(I419="","",TODAY()-I419)</f>
        <v/>
      </c>
      <c r="AN419" s="7" t="str">
        <f aca="false">IF(A419="","",IF(AND(E419&lt;&gt;"33 確認済",E419&lt;&gt;"36 送付中"),1,0))</f>
        <v/>
      </c>
      <c r="AO419" s="7" t="str">
        <f aca="false">IF(A419="","",IF(AG419&lt;&gt;"",1,0))</f>
        <v/>
      </c>
    </row>
    <row r="420" customFormat="false" ht="15" hidden="false" customHeight="false" outlineLevel="0" collapsed="false">
      <c r="AL420" s="7" t="str">
        <f aca="false">IF(A420="","",IF(COUNTIF(A420:A$2001,A420)=1,1,0))</f>
        <v/>
      </c>
      <c r="AM420" s="7" t="str">
        <f aca="true">IF(I420="","",TODAY()-I420)</f>
        <v/>
      </c>
      <c r="AN420" s="7" t="str">
        <f aca="false">IF(A420="","",IF(AND(E420&lt;&gt;"33 確認済",E420&lt;&gt;"36 送付中"),1,0))</f>
        <v/>
      </c>
      <c r="AO420" s="7" t="str">
        <f aca="false">IF(A420="","",IF(AG420&lt;&gt;"",1,0))</f>
        <v/>
      </c>
    </row>
    <row r="421" customFormat="false" ht="15" hidden="false" customHeight="false" outlineLevel="0" collapsed="false">
      <c r="AL421" s="7" t="str">
        <f aca="false">IF(A421="","",IF(COUNTIF(A421:A$2001,A421)=1,1,0))</f>
        <v/>
      </c>
      <c r="AM421" s="7" t="str">
        <f aca="true">IF(I421="","",TODAY()-I421)</f>
        <v/>
      </c>
      <c r="AN421" s="7" t="str">
        <f aca="false">IF(A421="","",IF(AND(E421&lt;&gt;"33 確認済",E421&lt;&gt;"36 送付中"),1,0))</f>
        <v/>
      </c>
      <c r="AO421" s="7" t="str">
        <f aca="false">IF(A421="","",IF(AG421&lt;&gt;"",1,0))</f>
        <v/>
      </c>
    </row>
    <row r="422" customFormat="false" ht="15" hidden="false" customHeight="false" outlineLevel="0" collapsed="false">
      <c r="AL422" s="7" t="str">
        <f aca="false">IF(A422="","",IF(COUNTIF(A422:A$2001,A422)=1,1,0))</f>
        <v/>
      </c>
      <c r="AM422" s="7" t="str">
        <f aca="true">IF(I422="","",TODAY()-I422)</f>
        <v/>
      </c>
      <c r="AN422" s="7" t="str">
        <f aca="false">IF(A422="","",IF(AND(E422&lt;&gt;"33 確認済",E422&lt;&gt;"36 送付中"),1,0))</f>
        <v/>
      </c>
      <c r="AO422" s="7" t="str">
        <f aca="false">IF(A422="","",IF(AG422&lt;&gt;"",1,0))</f>
        <v/>
      </c>
    </row>
    <row r="423" customFormat="false" ht="15" hidden="false" customHeight="false" outlineLevel="0" collapsed="false">
      <c r="AL423" s="7" t="str">
        <f aca="false">IF(A423="","",IF(COUNTIF(A423:A$2001,A423)=1,1,0))</f>
        <v/>
      </c>
      <c r="AM423" s="7" t="str">
        <f aca="true">IF(I423="","",TODAY()-I423)</f>
        <v/>
      </c>
      <c r="AN423" s="7" t="str">
        <f aca="false">IF(A423="","",IF(AND(E423&lt;&gt;"33 確認済",E423&lt;&gt;"36 送付中"),1,0))</f>
        <v/>
      </c>
      <c r="AO423" s="7" t="str">
        <f aca="false">IF(A423="","",IF(AG423&lt;&gt;"",1,0))</f>
        <v/>
      </c>
    </row>
    <row r="424" customFormat="false" ht="15" hidden="false" customHeight="false" outlineLevel="0" collapsed="false">
      <c r="AL424" s="7" t="str">
        <f aca="false">IF(A424="","",IF(COUNTIF(A424:A$2001,A424)=1,1,0))</f>
        <v/>
      </c>
      <c r="AM424" s="7" t="str">
        <f aca="true">IF(I424="","",TODAY()-I424)</f>
        <v/>
      </c>
      <c r="AN424" s="7" t="str">
        <f aca="false">IF(A424="","",IF(AND(E424&lt;&gt;"33 確認済",E424&lt;&gt;"36 送付中"),1,0))</f>
        <v/>
      </c>
      <c r="AO424" s="7" t="str">
        <f aca="false">IF(A424="","",IF(AG424&lt;&gt;"",1,0))</f>
        <v/>
      </c>
    </row>
    <row r="425" customFormat="false" ht="15" hidden="false" customHeight="false" outlineLevel="0" collapsed="false">
      <c r="AL425" s="7" t="str">
        <f aca="false">IF(A425="","",IF(COUNTIF(A425:A$2001,A425)=1,1,0))</f>
        <v/>
      </c>
      <c r="AM425" s="7" t="str">
        <f aca="true">IF(I425="","",TODAY()-I425)</f>
        <v/>
      </c>
      <c r="AN425" s="7" t="str">
        <f aca="false">IF(A425="","",IF(AND(E425&lt;&gt;"33 確認済",E425&lt;&gt;"36 送付中"),1,0))</f>
        <v/>
      </c>
      <c r="AO425" s="7" t="str">
        <f aca="false">IF(A425="","",IF(AG425&lt;&gt;"",1,0))</f>
        <v/>
      </c>
    </row>
    <row r="426" customFormat="false" ht="15" hidden="false" customHeight="false" outlineLevel="0" collapsed="false">
      <c r="AL426" s="7" t="str">
        <f aca="false">IF(A426="","",IF(COUNTIF(A426:A$2001,A426)=1,1,0))</f>
        <v/>
      </c>
      <c r="AM426" s="7" t="str">
        <f aca="true">IF(I426="","",TODAY()-I426)</f>
        <v/>
      </c>
      <c r="AN426" s="7" t="str">
        <f aca="false">IF(A426="","",IF(AND(E426&lt;&gt;"33 確認済",E426&lt;&gt;"36 送付中"),1,0))</f>
        <v/>
      </c>
      <c r="AO426" s="7" t="str">
        <f aca="false">IF(A426="","",IF(AG426&lt;&gt;"",1,0))</f>
        <v/>
      </c>
    </row>
    <row r="427" customFormat="false" ht="15" hidden="false" customHeight="false" outlineLevel="0" collapsed="false">
      <c r="AL427" s="7" t="str">
        <f aca="false">IF(A427="","",IF(COUNTIF(A427:A$2001,A427)=1,1,0))</f>
        <v/>
      </c>
      <c r="AM427" s="7" t="str">
        <f aca="true">IF(I427="","",TODAY()-I427)</f>
        <v/>
      </c>
      <c r="AN427" s="7" t="str">
        <f aca="false">IF(A427="","",IF(AND(E427&lt;&gt;"33 確認済",E427&lt;&gt;"36 送付中"),1,0))</f>
        <v/>
      </c>
      <c r="AO427" s="7" t="str">
        <f aca="false">IF(A427="","",IF(AG427&lt;&gt;"",1,0))</f>
        <v/>
      </c>
    </row>
    <row r="428" customFormat="false" ht="15" hidden="false" customHeight="false" outlineLevel="0" collapsed="false">
      <c r="AL428" s="7" t="str">
        <f aca="false">IF(A428="","",IF(COUNTIF(A428:A$2001,A428)=1,1,0))</f>
        <v/>
      </c>
      <c r="AM428" s="7" t="str">
        <f aca="true">IF(I428="","",TODAY()-I428)</f>
        <v/>
      </c>
      <c r="AN428" s="7" t="str">
        <f aca="false">IF(A428="","",IF(AND(E428&lt;&gt;"33 確認済",E428&lt;&gt;"36 送付中"),1,0))</f>
        <v/>
      </c>
      <c r="AO428" s="7" t="str">
        <f aca="false">IF(A428="","",IF(AG428&lt;&gt;"",1,0))</f>
        <v/>
      </c>
    </row>
    <row r="429" customFormat="false" ht="15" hidden="false" customHeight="false" outlineLevel="0" collapsed="false">
      <c r="AL429" s="7" t="str">
        <f aca="false">IF(A429="","",IF(COUNTIF(A429:A$2001,A429)=1,1,0))</f>
        <v/>
      </c>
      <c r="AM429" s="7" t="str">
        <f aca="true">IF(I429="","",TODAY()-I429)</f>
        <v/>
      </c>
      <c r="AN429" s="7" t="str">
        <f aca="false">IF(A429="","",IF(AND(E429&lt;&gt;"33 確認済",E429&lt;&gt;"36 送付中"),1,0))</f>
        <v/>
      </c>
      <c r="AO429" s="7" t="str">
        <f aca="false">IF(A429="","",IF(AG429&lt;&gt;"",1,0))</f>
        <v/>
      </c>
    </row>
    <row r="430" customFormat="false" ht="15" hidden="false" customHeight="false" outlineLevel="0" collapsed="false">
      <c r="AL430" s="7" t="str">
        <f aca="false">IF(A430="","",IF(COUNTIF(A430:A$2001,A430)=1,1,0))</f>
        <v/>
      </c>
      <c r="AM430" s="7" t="str">
        <f aca="true">IF(I430="","",TODAY()-I430)</f>
        <v/>
      </c>
      <c r="AN430" s="7" t="str">
        <f aca="false">IF(A430="","",IF(AND(E430&lt;&gt;"33 確認済",E430&lt;&gt;"36 送付中"),1,0))</f>
        <v/>
      </c>
      <c r="AO430" s="7" t="str">
        <f aca="false">IF(A430="","",IF(AG430&lt;&gt;"",1,0))</f>
        <v/>
      </c>
    </row>
    <row r="431" customFormat="false" ht="15" hidden="false" customHeight="false" outlineLevel="0" collapsed="false">
      <c r="AL431" s="7" t="str">
        <f aca="false">IF(A431="","",IF(COUNTIF(A431:A$2001,A431)=1,1,0))</f>
        <v/>
      </c>
      <c r="AM431" s="7" t="str">
        <f aca="true">IF(I431="","",TODAY()-I431)</f>
        <v/>
      </c>
      <c r="AN431" s="7" t="str">
        <f aca="false">IF(A431="","",IF(AND(E431&lt;&gt;"33 確認済",E431&lt;&gt;"36 送付中"),1,0))</f>
        <v/>
      </c>
      <c r="AO431" s="7" t="str">
        <f aca="false">IF(A431="","",IF(AG431&lt;&gt;"",1,0))</f>
        <v/>
      </c>
    </row>
    <row r="432" customFormat="false" ht="15" hidden="false" customHeight="false" outlineLevel="0" collapsed="false">
      <c r="AL432" s="7" t="str">
        <f aca="false">IF(A432="","",IF(COUNTIF(A432:A$2001,A432)=1,1,0))</f>
        <v/>
      </c>
      <c r="AM432" s="7" t="str">
        <f aca="true">IF(I432="","",TODAY()-I432)</f>
        <v/>
      </c>
      <c r="AN432" s="7" t="str">
        <f aca="false">IF(A432="","",IF(AND(E432&lt;&gt;"33 確認済",E432&lt;&gt;"36 送付中"),1,0))</f>
        <v/>
      </c>
      <c r="AO432" s="7" t="str">
        <f aca="false">IF(A432="","",IF(AG432&lt;&gt;"",1,0))</f>
        <v/>
      </c>
    </row>
    <row r="433" customFormat="false" ht="15" hidden="false" customHeight="false" outlineLevel="0" collapsed="false">
      <c r="AL433" s="7" t="str">
        <f aca="false">IF(A433="","",IF(COUNTIF(A433:A$2001,A433)=1,1,0))</f>
        <v/>
      </c>
      <c r="AM433" s="7" t="str">
        <f aca="true">IF(I433="","",TODAY()-I433)</f>
        <v/>
      </c>
      <c r="AN433" s="7" t="str">
        <f aca="false">IF(A433="","",IF(AND(E433&lt;&gt;"33 確認済",E433&lt;&gt;"36 送付中"),1,0))</f>
        <v/>
      </c>
      <c r="AO433" s="7" t="str">
        <f aca="false">IF(A433="","",IF(AG433&lt;&gt;"",1,0))</f>
        <v/>
      </c>
    </row>
    <row r="434" customFormat="false" ht="15" hidden="false" customHeight="false" outlineLevel="0" collapsed="false">
      <c r="AL434" s="7" t="str">
        <f aca="false">IF(A434="","",IF(COUNTIF(A434:A$2001,A434)=1,1,0))</f>
        <v/>
      </c>
      <c r="AM434" s="7" t="str">
        <f aca="true">IF(I434="","",TODAY()-I434)</f>
        <v/>
      </c>
      <c r="AN434" s="7" t="str">
        <f aca="false">IF(A434="","",IF(AND(E434&lt;&gt;"33 確認済",E434&lt;&gt;"36 送付中"),1,0))</f>
        <v/>
      </c>
      <c r="AO434" s="7" t="str">
        <f aca="false">IF(A434="","",IF(AG434&lt;&gt;"",1,0))</f>
        <v/>
      </c>
    </row>
    <row r="435" customFormat="false" ht="15" hidden="false" customHeight="false" outlineLevel="0" collapsed="false">
      <c r="AL435" s="7" t="str">
        <f aca="false">IF(A435="","",IF(COUNTIF(A435:A$2001,A435)=1,1,0))</f>
        <v/>
      </c>
      <c r="AM435" s="7" t="str">
        <f aca="true">IF(I435="","",TODAY()-I435)</f>
        <v/>
      </c>
      <c r="AN435" s="7" t="str">
        <f aca="false">IF(A435="","",IF(AND(E435&lt;&gt;"33 確認済",E435&lt;&gt;"36 送付中"),1,0))</f>
        <v/>
      </c>
      <c r="AO435" s="7" t="str">
        <f aca="false">IF(A435="","",IF(AG435&lt;&gt;"",1,0))</f>
        <v/>
      </c>
    </row>
    <row r="436" customFormat="false" ht="15" hidden="false" customHeight="false" outlineLevel="0" collapsed="false">
      <c r="AL436" s="7" t="str">
        <f aca="false">IF(A436="","",IF(COUNTIF(A436:A$2001,A436)=1,1,0))</f>
        <v/>
      </c>
      <c r="AM436" s="7" t="str">
        <f aca="true">IF(I436="","",TODAY()-I436)</f>
        <v/>
      </c>
      <c r="AN436" s="7" t="str">
        <f aca="false">IF(A436="","",IF(AND(E436&lt;&gt;"33 確認済",E436&lt;&gt;"36 送付中"),1,0))</f>
        <v/>
      </c>
      <c r="AO436" s="7" t="str">
        <f aca="false">IF(A436="","",IF(AG436&lt;&gt;"",1,0))</f>
        <v/>
      </c>
    </row>
    <row r="437" customFormat="false" ht="15" hidden="false" customHeight="false" outlineLevel="0" collapsed="false">
      <c r="AL437" s="7" t="str">
        <f aca="false">IF(A437="","",IF(COUNTIF(A437:A$2001,A437)=1,1,0))</f>
        <v/>
      </c>
      <c r="AM437" s="7" t="str">
        <f aca="true">IF(I437="","",TODAY()-I437)</f>
        <v/>
      </c>
      <c r="AN437" s="7" t="str">
        <f aca="false">IF(A437="","",IF(AND(E437&lt;&gt;"33 確認済",E437&lt;&gt;"36 送付中"),1,0))</f>
        <v/>
      </c>
      <c r="AO437" s="7" t="str">
        <f aca="false">IF(A437="","",IF(AG437&lt;&gt;"",1,0))</f>
        <v/>
      </c>
    </row>
    <row r="438" customFormat="false" ht="15" hidden="false" customHeight="false" outlineLevel="0" collapsed="false">
      <c r="AL438" s="7" t="str">
        <f aca="false">IF(A438="","",IF(COUNTIF(A438:A$2001,A438)=1,1,0))</f>
        <v/>
      </c>
      <c r="AM438" s="7" t="str">
        <f aca="true">IF(I438="","",TODAY()-I438)</f>
        <v/>
      </c>
      <c r="AN438" s="7" t="str">
        <f aca="false">IF(A438="","",IF(AND(E438&lt;&gt;"33 確認済",E438&lt;&gt;"36 送付中"),1,0))</f>
        <v/>
      </c>
      <c r="AO438" s="7" t="str">
        <f aca="false">IF(A438="","",IF(AG438&lt;&gt;"",1,0))</f>
        <v/>
      </c>
    </row>
    <row r="439" customFormat="false" ht="15" hidden="false" customHeight="false" outlineLevel="0" collapsed="false">
      <c r="AL439" s="7" t="str">
        <f aca="false">IF(A439="","",IF(COUNTIF(A439:A$2001,A439)=1,1,0))</f>
        <v/>
      </c>
      <c r="AM439" s="7" t="str">
        <f aca="true">IF(I439="","",TODAY()-I439)</f>
        <v/>
      </c>
      <c r="AN439" s="7" t="str">
        <f aca="false">IF(A439="","",IF(AND(E439&lt;&gt;"33 確認済",E439&lt;&gt;"36 送付中"),1,0))</f>
        <v/>
      </c>
      <c r="AO439" s="7" t="str">
        <f aca="false">IF(A439="","",IF(AG439&lt;&gt;"",1,0))</f>
        <v/>
      </c>
    </row>
    <row r="440" customFormat="false" ht="15" hidden="false" customHeight="false" outlineLevel="0" collapsed="false">
      <c r="AL440" s="7" t="str">
        <f aca="false">IF(A440="","",IF(COUNTIF(A440:A$2001,A440)=1,1,0))</f>
        <v/>
      </c>
      <c r="AM440" s="7" t="str">
        <f aca="true">IF(I440="","",TODAY()-I440)</f>
        <v/>
      </c>
      <c r="AN440" s="7" t="str">
        <f aca="false">IF(A440="","",IF(AND(E440&lt;&gt;"33 確認済",E440&lt;&gt;"36 送付中"),1,0))</f>
        <v/>
      </c>
      <c r="AO440" s="7" t="str">
        <f aca="false">IF(A440="","",IF(AG440&lt;&gt;"",1,0))</f>
        <v/>
      </c>
    </row>
    <row r="441" customFormat="false" ht="15" hidden="false" customHeight="false" outlineLevel="0" collapsed="false">
      <c r="AL441" s="7" t="str">
        <f aca="false">IF(A441="","",IF(COUNTIF(A441:A$2001,A441)=1,1,0))</f>
        <v/>
      </c>
      <c r="AM441" s="7" t="str">
        <f aca="true">IF(I441="","",TODAY()-I441)</f>
        <v/>
      </c>
      <c r="AN441" s="7" t="str">
        <f aca="false">IF(A441="","",IF(AND(E441&lt;&gt;"33 確認済",E441&lt;&gt;"36 送付中"),1,0))</f>
        <v/>
      </c>
      <c r="AO441" s="7" t="str">
        <f aca="false">IF(A441="","",IF(AG441&lt;&gt;"",1,0))</f>
        <v/>
      </c>
    </row>
    <row r="442" customFormat="false" ht="15" hidden="false" customHeight="false" outlineLevel="0" collapsed="false">
      <c r="AL442" s="7" t="str">
        <f aca="false">IF(A442="","",IF(COUNTIF(A442:A$2001,A442)=1,1,0))</f>
        <v/>
      </c>
      <c r="AM442" s="7" t="str">
        <f aca="true">IF(I442="","",TODAY()-I442)</f>
        <v/>
      </c>
      <c r="AN442" s="7" t="str">
        <f aca="false">IF(A442="","",IF(AND(E442&lt;&gt;"33 確認済",E442&lt;&gt;"36 送付中"),1,0))</f>
        <v/>
      </c>
      <c r="AO442" s="7" t="str">
        <f aca="false">IF(A442="","",IF(AG442&lt;&gt;"",1,0))</f>
        <v/>
      </c>
    </row>
    <row r="443" customFormat="false" ht="15" hidden="false" customHeight="false" outlineLevel="0" collapsed="false">
      <c r="AL443" s="7" t="str">
        <f aca="false">IF(A443="","",IF(COUNTIF(A443:A$2001,A443)=1,1,0))</f>
        <v/>
      </c>
      <c r="AM443" s="7" t="str">
        <f aca="true">IF(I443="","",TODAY()-I443)</f>
        <v/>
      </c>
      <c r="AN443" s="7" t="str">
        <f aca="false">IF(A443="","",IF(AND(E443&lt;&gt;"33 確認済",E443&lt;&gt;"36 送付中"),1,0))</f>
        <v/>
      </c>
      <c r="AO443" s="7" t="str">
        <f aca="false">IF(A443="","",IF(AG443&lt;&gt;"",1,0))</f>
        <v/>
      </c>
    </row>
    <row r="444" customFormat="false" ht="15" hidden="false" customHeight="false" outlineLevel="0" collapsed="false">
      <c r="AL444" s="7" t="str">
        <f aca="false">IF(A444="","",IF(COUNTIF(A444:A$2001,A444)=1,1,0))</f>
        <v/>
      </c>
      <c r="AM444" s="7" t="str">
        <f aca="true">IF(I444="","",TODAY()-I444)</f>
        <v/>
      </c>
      <c r="AN444" s="7" t="str">
        <f aca="false">IF(A444="","",IF(AND(E444&lt;&gt;"33 確認済",E444&lt;&gt;"36 送付中"),1,0))</f>
        <v/>
      </c>
      <c r="AO444" s="7" t="str">
        <f aca="false">IF(A444="","",IF(AG444&lt;&gt;"",1,0))</f>
        <v/>
      </c>
    </row>
    <row r="445" customFormat="false" ht="15" hidden="false" customHeight="false" outlineLevel="0" collapsed="false">
      <c r="AL445" s="7" t="str">
        <f aca="false">IF(A445="","",IF(COUNTIF(A445:A$2001,A445)=1,1,0))</f>
        <v/>
      </c>
      <c r="AM445" s="7" t="str">
        <f aca="true">IF(I445="","",TODAY()-I445)</f>
        <v/>
      </c>
      <c r="AN445" s="7" t="str">
        <f aca="false">IF(A445="","",IF(AND(E445&lt;&gt;"33 確認済",E445&lt;&gt;"36 送付中"),1,0))</f>
        <v/>
      </c>
      <c r="AO445" s="7" t="str">
        <f aca="false">IF(A445="","",IF(AG445&lt;&gt;"",1,0))</f>
        <v/>
      </c>
    </row>
    <row r="446" customFormat="false" ht="15" hidden="false" customHeight="false" outlineLevel="0" collapsed="false">
      <c r="AL446" s="7" t="str">
        <f aca="false">IF(A446="","",IF(COUNTIF(A446:A$2001,A446)=1,1,0))</f>
        <v/>
      </c>
      <c r="AM446" s="7" t="str">
        <f aca="true">IF(I446="","",TODAY()-I446)</f>
        <v/>
      </c>
      <c r="AN446" s="7" t="str">
        <f aca="false">IF(A446="","",IF(AND(E446&lt;&gt;"33 確認済",E446&lt;&gt;"36 送付中"),1,0))</f>
        <v/>
      </c>
      <c r="AO446" s="7" t="str">
        <f aca="false">IF(A446="","",IF(AG446&lt;&gt;"",1,0))</f>
        <v/>
      </c>
    </row>
    <row r="447" customFormat="false" ht="15" hidden="false" customHeight="false" outlineLevel="0" collapsed="false">
      <c r="AL447" s="7" t="str">
        <f aca="false">IF(A447="","",IF(COUNTIF(A447:A$2001,A447)=1,1,0))</f>
        <v/>
      </c>
      <c r="AM447" s="7" t="str">
        <f aca="true">IF(I447="","",TODAY()-I447)</f>
        <v/>
      </c>
      <c r="AN447" s="7" t="str">
        <f aca="false">IF(A447="","",IF(AND(E447&lt;&gt;"33 確認済",E447&lt;&gt;"36 送付中"),1,0))</f>
        <v/>
      </c>
      <c r="AO447" s="7" t="str">
        <f aca="false">IF(A447="","",IF(AG447&lt;&gt;"",1,0))</f>
        <v/>
      </c>
    </row>
    <row r="448" customFormat="false" ht="15" hidden="false" customHeight="false" outlineLevel="0" collapsed="false">
      <c r="AL448" s="7" t="str">
        <f aca="false">IF(A448="","",IF(COUNTIF(A448:A$2001,A448)=1,1,0))</f>
        <v/>
      </c>
      <c r="AM448" s="7" t="str">
        <f aca="true">IF(I448="","",TODAY()-I448)</f>
        <v/>
      </c>
      <c r="AN448" s="7" t="str">
        <f aca="false">IF(A448="","",IF(AND(E448&lt;&gt;"33 確認済",E448&lt;&gt;"36 送付中"),1,0))</f>
        <v/>
      </c>
      <c r="AO448" s="7" t="str">
        <f aca="false">IF(A448="","",IF(AG448&lt;&gt;"",1,0))</f>
        <v/>
      </c>
    </row>
    <row r="449" customFormat="false" ht="15" hidden="false" customHeight="false" outlineLevel="0" collapsed="false">
      <c r="AL449" s="7" t="str">
        <f aca="false">IF(A449="","",IF(COUNTIF(A449:A$2001,A449)=1,1,0))</f>
        <v/>
      </c>
      <c r="AM449" s="7" t="str">
        <f aca="true">IF(I449="","",TODAY()-I449)</f>
        <v/>
      </c>
      <c r="AN449" s="7" t="str">
        <f aca="false">IF(A449="","",IF(AND(E449&lt;&gt;"33 確認済",E449&lt;&gt;"36 送付中"),1,0))</f>
        <v/>
      </c>
      <c r="AO449" s="7" t="str">
        <f aca="false">IF(A449="","",IF(AG449&lt;&gt;"",1,0))</f>
        <v/>
      </c>
    </row>
    <row r="450" customFormat="false" ht="15" hidden="false" customHeight="false" outlineLevel="0" collapsed="false">
      <c r="AL450" s="7" t="str">
        <f aca="false">IF(A450="","",IF(COUNTIF(A450:A$2001,A450)=1,1,0))</f>
        <v/>
      </c>
      <c r="AM450" s="7" t="str">
        <f aca="true">IF(I450="","",TODAY()-I450)</f>
        <v/>
      </c>
      <c r="AN450" s="7" t="str">
        <f aca="false">IF(A450="","",IF(AND(E450&lt;&gt;"33 確認済",E450&lt;&gt;"36 送付中"),1,0))</f>
        <v/>
      </c>
      <c r="AO450" s="7" t="str">
        <f aca="false">IF(A450="","",IF(AG450&lt;&gt;"",1,0))</f>
        <v/>
      </c>
    </row>
    <row r="451" customFormat="false" ht="15" hidden="false" customHeight="false" outlineLevel="0" collapsed="false">
      <c r="AL451" s="7" t="str">
        <f aca="false">IF(A451="","",IF(COUNTIF(A451:A$2001,A451)=1,1,0))</f>
        <v/>
      </c>
      <c r="AM451" s="7" t="str">
        <f aca="true">IF(I451="","",TODAY()-I451)</f>
        <v/>
      </c>
      <c r="AN451" s="7" t="str">
        <f aca="false">IF(A451="","",IF(AND(E451&lt;&gt;"33 確認済",E451&lt;&gt;"36 送付中"),1,0))</f>
        <v/>
      </c>
      <c r="AO451" s="7" t="str">
        <f aca="false">IF(A451="","",IF(AG451&lt;&gt;"",1,0))</f>
        <v/>
      </c>
    </row>
    <row r="452" customFormat="false" ht="15" hidden="false" customHeight="false" outlineLevel="0" collapsed="false">
      <c r="AL452" s="7" t="str">
        <f aca="false">IF(A452="","",IF(COUNTIF(A452:A$2001,A452)=1,1,0))</f>
        <v/>
      </c>
      <c r="AM452" s="7" t="str">
        <f aca="true">IF(I452="","",TODAY()-I452)</f>
        <v/>
      </c>
      <c r="AN452" s="7" t="str">
        <f aca="false">IF(A452="","",IF(AND(E452&lt;&gt;"33 確認済",E452&lt;&gt;"36 送付中"),1,0))</f>
        <v/>
      </c>
      <c r="AO452" s="7" t="str">
        <f aca="false">IF(A452="","",IF(AG452&lt;&gt;"",1,0))</f>
        <v/>
      </c>
    </row>
    <row r="453" customFormat="false" ht="15" hidden="false" customHeight="false" outlineLevel="0" collapsed="false">
      <c r="AL453" s="7" t="str">
        <f aca="false">IF(A453="","",IF(COUNTIF(A453:A$2001,A453)=1,1,0))</f>
        <v/>
      </c>
      <c r="AM453" s="7" t="str">
        <f aca="true">IF(I453="","",TODAY()-I453)</f>
        <v/>
      </c>
      <c r="AN453" s="7" t="str">
        <f aca="false">IF(A453="","",IF(AND(E453&lt;&gt;"33 確認済",E453&lt;&gt;"36 送付中"),1,0))</f>
        <v/>
      </c>
      <c r="AO453" s="7" t="str">
        <f aca="false">IF(A453="","",IF(AG453&lt;&gt;"",1,0))</f>
        <v/>
      </c>
    </row>
    <row r="454" customFormat="false" ht="15" hidden="false" customHeight="false" outlineLevel="0" collapsed="false">
      <c r="AL454" s="7" t="str">
        <f aca="false">IF(A454="","",IF(COUNTIF(A454:A$2001,A454)=1,1,0))</f>
        <v/>
      </c>
      <c r="AM454" s="7" t="str">
        <f aca="true">IF(I454="","",TODAY()-I454)</f>
        <v/>
      </c>
      <c r="AN454" s="7" t="str">
        <f aca="false">IF(A454="","",IF(AND(E454&lt;&gt;"33 確認済",E454&lt;&gt;"36 送付中"),1,0))</f>
        <v/>
      </c>
      <c r="AO454" s="7" t="str">
        <f aca="false">IF(A454="","",IF(AG454&lt;&gt;"",1,0))</f>
        <v/>
      </c>
    </row>
    <row r="455" customFormat="false" ht="15" hidden="false" customHeight="false" outlineLevel="0" collapsed="false">
      <c r="AL455" s="7" t="str">
        <f aca="false">IF(A455="","",IF(COUNTIF(A455:A$2001,A455)=1,1,0))</f>
        <v/>
      </c>
      <c r="AM455" s="7" t="str">
        <f aca="true">IF(I455="","",TODAY()-I455)</f>
        <v/>
      </c>
      <c r="AN455" s="7" t="str">
        <f aca="false">IF(A455="","",IF(AND(E455&lt;&gt;"33 確認済",E455&lt;&gt;"36 送付中"),1,0))</f>
        <v/>
      </c>
      <c r="AO455" s="7" t="str">
        <f aca="false">IF(A455="","",IF(AG455&lt;&gt;"",1,0))</f>
        <v/>
      </c>
    </row>
    <row r="456" customFormat="false" ht="15" hidden="false" customHeight="false" outlineLevel="0" collapsed="false">
      <c r="AL456" s="7" t="str">
        <f aca="false">IF(A456="","",IF(COUNTIF(A456:A$2001,A456)=1,1,0))</f>
        <v/>
      </c>
      <c r="AM456" s="7" t="str">
        <f aca="true">IF(I456="","",TODAY()-I456)</f>
        <v/>
      </c>
      <c r="AN456" s="7" t="str">
        <f aca="false">IF(A456="","",IF(AND(E456&lt;&gt;"33 確認済",E456&lt;&gt;"36 送付中"),1,0))</f>
        <v/>
      </c>
      <c r="AO456" s="7" t="str">
        <f aca="false">IF(A456="","",IF(AG456&lt;&gt;"",1,0))</f>
        <v/>
      </c>
    </row>
    <row r="457" customFormat="false" ht="15" hidden="false" customHeight="false" outlineLevel="0" collapsed="false">
      <c r="AL457" s="7" t="str">
        <f aca="false">IF(A457="","",IF(COUNTIF(A457:A$2001,A457)=1,1,0))</f>
        <v/>
      </c>
      <c r="AM457" s="7" t="str">
        <f aca="true">IF(I457="","",TODAY()-I457)</f>
        <v/>
      </c>
      <c r="AN457" s="7" t="str">
        <f aca="false">IF(A457="","",IF(AND(E457&lt;&gt;"33 確認済",E457&lt;&gt;"36 送付中"),1,0))</f>
        <v/>
      </c>
      <c r="AO457" s="7" t="str">
        <f aca="false">IF(A457="","",IF(AG457&lt;&gt;"",1,0))</f>
        <v/>
      </c>
    </row>
    <row r="458" customFormat="false" ht="15" hidden="false" customHeight="false" outlineLevel="0" collapsed="false">
      <c r="AL458" s="7" t="str">
        <f aca="false">IF(A458="","",IF(COUNTIF(A458:A$2001,A458)=1,1,0))</f>
        <v/>
      </c>
      <c r="AM458" s="7" t="str">
        <f aca="true">IF(I458="","",TODAY()-I458)</f>
        <v/>
      </c>
      <c r="AN458" s="7" t="str">
        <f aca="false">IF(A458="","",IF(AND(E458&lt;&gt;"33 確認済",E458&lt;&gt;"36 送付中"),1,0))</f>
        <v/>
      </c>
      <c r="AO458" s="7" t="str">
        <f aca="false">IF(A458="","",IF(AG458&lt;&gt;"",1,0))</f>
        <v/>
      </c>
    </row>
    <row r="459" customFormat="false" ht="15" hidden="false" customHeight="false" outlineLevel="0" collapsed="false">
      <c r="AL459" s="7" t="str">
        <f aca="false">IF(A459="","",IF(COUNTIF(A459:A$2001,A459)=1,1,0))</f>
        <v/>
      </c>
      <c r="AM459" s="7" t="str">
        <f aca="true">IF(I459="","",TODAY()-I459)</f>
        <v/>
      </c>
      <c r="AN459" s="7" t="str">
        <f aca="false">IF(A459="","",IF(AND(E459&lt;&gt;"33 確認済",E459&lt;&gt;"36 送付中"),1,0))</f>
        <v/>
      </c>
      <c r="AO459" s="7" t="str">
        <f aca="false">IF(A459="","",IF(AG459&lt;&gt;"",1,0))</f>
        <v/>
      </c>
    </row>
    <row r="460" customFormat="false" ht="15" hidden="false" customHeight="false" outlineLevel="0" collapsed="false">
      <c r="AL460" s="7" t="str">
        <f aca="false">IF(A460="","",IF(COUNTIF(A460:A$2001,A460)=1,1,0))</f>
        <v/>
      </c>
      <c r="AM460" s="7" t="str">
        <f aca="true">IF(I460="","",TODAY()-I460)</f>
        <v/>
      </c>
      <c r="AN460" s="7" t="str">
        <f aca="false">IF(A460="","",IF(AND(E460&lt;&gt;"33 確認済",E460&lt;&gt;"36 送付中"),1,0))</f>
        <v/>
      </c>
      <c r="AO460" s="7" t="str">
        <f aca="false">IF(A460="","",IF(AG460&lt;&gt;"",1,0))</f>
        <v/>
      </c>
    </row>
    <row r="461" customFormat="false" ht="15" hidden="false" customHeight="false" outlineLevel="0" collapsed="false">
      <c r="AL461" s="7" t="str">
        <f aca="false">IF(A461="","",IF(COUNTIF(A461:A$2001,A461)=1,1,0))</f>
        <v/>
      </c>
      <c r="AM461" s="7" t="str">
        <f aca="true">IF(I461="","",TODAY()-I461)</f>
        <v/>
      </c>
      <c r="AN461" s="7" t="str">
        <f aca="false">IF(A461="","",IF(AND(E461&lt;&gt;"33 確認済",E461&lt;&gt;"36 送付中"),1,0))</f>
        <v/>
      </c>
      <c r="AO461" s="7" t="str">
        <f aca="false">IF(A461="","",IF(AG461&lt;&gt;"",1,0))</f>
        <v/>
      </c>
    </row>
    <row r="462" customFormat="false" ht="15" hidden="false" customHeight="false" outlineLevel="0" collapsed="false">
      <c r="AL462" s="7" t="str">
        <f aca="false">IF(A462="","",IF(COUNTIF(A462:A$2001,A462)=1,1,0))</f>
        <v/>
      </c>
      <c r="AM462" s="7" t="str">
        <f aca="true">IF(I462="","",TODAY()-I462)</f>
        <v/>
      </c>
      <c r="AN462" s="7" t="str">
        <f aca="false">IF(A462="","",IF(AND(E462&lt;&gt;"33 確認済",E462&lt;&gt;"36 送付中"),1,0))</f>
        <v/>
      </c>
      <c r="AO462" s="7" t="str">
        <f aca="false">IF(A462="","",IF(AG462&lt;&gt;"",1,0))</f>
        <v/>
      </c>
    </row>
    <row r="463" customFormat="false" ht="15" hidden="false" customHeight="false" outlineLevel="0" collapsed="false">
      <c r="AL463" s="7" t="str">
        <f aca="false">IF(A463="","",IF(COUNTIF(A463:A$2001,A463)=1,1,0))</f>
        <v/>
      </c>
      <c r="AM463" s="7" t="str">
        <f aca="true">IF(I463="","",TODAY()-I463)</f>
        <v/>
      </c>
      <c r="AN463" s="7" t="str">
        <f aca="false">IF(A463="","",IF(AND(E463&lt;&gt;"33 確認済",E463&lt;&gt;"36 送付中"),1,0))</f>
        <v/>
      </c>
      <c r="AO463" s="7" t="str">
        <f aca="false">IF(A463="","",IF(AG463&lt;&gt;"",1,0))</f>
        <v/>
      </c>
    </row>
    <row r="464" customFormat="false" ht="15" hidden="false" customHeight="false" outlineLevel="0" collapsed="false">
      <c r="AL464" s="7" t="str">
        <f aca="false">IF(A464="","",IF(COUNTIF(A464:A$2001,A464)=1,1,0))</f>
        <v/>
      </c>
      <c r="AM464" s="7" t="str">
        <f aca="true">IF(I464="","",TODAY()-I464)</f>
        <v/>
      </c>
      <c r="AN464" s="7" t="str">
        <f aca="false">IF(A464="","",IF(AND(E464&lt;&gt;"33 確認済",E464&lt;&gt;"36 送付中"),1,0))</f>
        <v/>
      </c>
      <c r="AO464" s="7" t="str">
        <f aca="false">IF(A464="","",IF(AG464&lt;&gt;"",1,0))</f>
        <v/>
      </c>
    </row>
    <row r="465" customFormat="false" ht="15" hidden="false" customHeight="false" outlineLevel="0" collapsed="false">
      <c r="AL465" s="7" t="str">
        <f aca="false">IF(A465="","",IF(COUNTIF(A465:A$2001,A465)=1,1,0))</f>
        <v/>
      </c>
      <c r="AM465" s="7" t="str">
        <f aca="true">IF(I465="","",TODAY()-I465)</f>
        <v/>
      </c>
      <c r="AN465" s="7" t="str">
        <f aca="false">IF(A465="","",IF(AND(E465&lt;&gt;"33 確認済",E465&lt;&gt;"36 送付中"),1,0))</f>
        <v/>
      </c>
      <c r="AO465" s="7" t="str">
        <f aca="false">IF(A465="","",IF(AG465&lt;&gt;"",1,0))</f>
        <v/>
      </c>
    </row>
    <row r="466" customFormat="false" ht="15" hidden="false" customHeight="false" outlineLevel="0" collapsed="false">
      <c r="AL466" s="7" t="str">
        <f aca="false">IF(A466="","",IF(COUNTIF(A466:A$2001,A466)=1,1,0))</f>
        <v/>
      </c>
      <c r="AM466" s="7" t="str">
        <f aca="true">IF(I466="","",TODAY()-I466)</f>
        <v/>
      </c>
      <c r="AN466" s="7" t="str">
        <f aca="false">IF(A466="","",IF(AND(E466&lt;&gt;"33 確認済",E466&lt;&gt;"36 送付中"),1,0))</f>
        <v/>
      </c>
      <c r="AO466" s="7" t="str">
        <f aca="false">IF(A466="","",IF(AG466&lt;&gt;"",1,0))</f>
        <v/>
      </c>
    </row>
    <row r="467" customFormat="false" ht="15" hidden="false" customHeight="false" outlineLevel="0" collapsed="false">
      <c r="AL467" s="7" t="str">
        <f aca="false">IF(A467="","",IF(COUNTIF(A467:A$2001,A467)=1,1,0))</f>
        <v/>
      </c>
      <c r="AM467" s="7" t="str">
        <f aca="true">IF(I467="","",TODAY()-I467)</f>
        <v/>
      </c>
      <c r="AN467" s="7" t="str">
        <f aca="false">IF(A467="","",IF(AND(E467&lt;&gt;"33 確認済",E467&lt;&gt;"36 送付中"),1,0))</f>
        <v/>
      </c>
      <c r="AO467" s="7" t="str">
        <f aca="false">IF(A467="","",IF(AG467&lt;&gt;"",1,0))</f>
        <v/>
      </c>
    </row>
    <row r="468" customFormat="false" ht="15" hidden="false" customHeight="false" outlineLevel="0" collapsed="false">
      <c r="AL468" s="7" t="str">
        <f aca="false">IF(A468="","",IF(COUNTIF(A468:A$2001,A468)=1,1,0))</f>
        <v/>
      </c>
      <c r="AM468" s="7" t="str">
        <f aca="true">IF(I468="","",TODAY()-I468)</f>
        <v/>
      </c>
      <c r="AN468" s="7" t="str">
        <f aca="false">IF(A468="","",IF(AND(E468&lt;&gt;"33 確認済",E468&lt;&gt;"36 送付中"),1,0))</f>
        <v/>
      </c>
      <c r="AO468" s="7" t="str">
        <f aca="false">IF(A468="","",IF(AG468&lt;&gt;"",1,0))</f>
        <v/>
      </c>
    </row>
    <row r="469" customFormat="false" ht="15" hidden="false" customHeight="false" outlineLevel="0" collapsed="false">
      <c r="AL469" s="7" t="str">
        <f aca="false">IF(A469="","",IF(COUNTIF(A469:A$2001,A469)=1,1,0))</f>
        <v/>
      </c>
      <c r="AM469" s="7" t="str">
        <f aca="true">IF(I469="","",TODAY()-I469)</f>
        <v/>
      </c>
      <c r="AN469" s="7" t="str">
        <f aca="false">IF(A469="","",IF(AND(E469&lt;&gt;"33 確認済",E469&lt;&gt;"36 送付中"),1,0))</f>
        <v/>
      </c>
      <c r="AO469" s="7" t="str">
        <f aca="false">IF(A469="","",IF(AG469&lt;&gt;"",1,0))</f>
        <v/>
      </c>
    </row>
    <row r="470" customFormat="false" ht="15" hidden="false" customHeight="false" outlineLevel="0" collapsed="false">
      <c r="AL470" s="7" t="str">
        <f aca="false">IF(A470="","",IF(COUNTIF(A470:A$2001,A470)=1,1,0))</f>
        <v/>
      </c>
      <c r="AM470" s="7" t="str">
        <f aca="true">IF(I470="","",TODAY()-I470)</f>
        <v/>
      </c>
      <c r="AN470" s="7" t="str">
        <f aca="false">IF(A470="","",IF(AND(E470&lt;&gt;"33 確認済",E470&lt;&gt;"36 送付中"),1,0))</f>
        <v/>
      </c>
      <c r="AO470" s="7" t="str">
        <f aca="false">IF(A470="","",IF(AG470&lt;&gt;"",1,0))</f>
        <v/>
      </c>
    </row>
    <row r="471" customFormat="false" ht="15" hidden="false" customHeight="false" outlineLevel="0" collapsed="false">
      <c r="AL471" s="7" t="str">
        <f aca="false">IF(A471="","",IF(COUNTIF(A471:A$2001,A471)=1,1,0))</f>
        <v/>
      </c>
      <c r="AM471" s="7" t="str">
        <f aca="true">IF(I471="","",TODAY()-I471)</f>
        <v/>
      </c>
      <c r="AN471" s="7" t="str">
        <f aca="false">IF(A471="","",IF(AND(E471&lt;&gt;"33 確認済",E471&lt;&gt;"36 送付中"),1,0))</f>
        <v/>
      </c>
      <c r="AO471" s="7" t="str">
        <f aca="false">IF(A471="","",IF(AG471&lt;&gt;"",1,0))</f>
        <v/>
      </c>
    </row>
    <row r="472" customFormat="false" ht="15" hidden="false" customHeight="false" outlineLevel="0" collapsed="false">
      <c r="AL472" s="7" t="str">
        <f aca="false">IF(A472="","",IF(COUNTIF(A472:A$2001,A472)=1,1,0))</f>
        <v/>
      </c>
      <c r="AM472" s="7" t="str">
        <f aca="true">IF(I472="","",TODAY()-I472)</f>
        <v/>
      </c>
      <c r="AN472" s="7" t="str">
        <f aca="false">IF(A472="","",IF(AND(E472&lt;&gt;"33 確認済",E472&lt;&gt;"36 送付中"),1,0))</f>
        <v/>
      </c>
      <c r="AO472" s="7" t="str">
        <f aca="false">IF(A472="","",IF(AG472&lt;&gt;"",1,0))</f>
        <v/>
      </c>
    </row>
    <row r="473" customFormat="false" ht="15" hidden="false" customHeight="false" outlineLevel="0" collapsed="false">
      <c r="AL473" s="7" t="str">
        <f aca="false">IF(A473="","",IF(COUNTIF(A473:A$2001,A473)=1,1,0))</f>
        <v/>
      </c>
      <c r="AM473" s="7" t="str">
        <f aca="true">IF(I473="","",TODAY()-I473)</f>
        <v/>
      </c>
      <c r="AN473" s="7" t="str">
        <f aca="false">IF(A473="","",IF(AND(E473&lt;&gt;"33 確認済",E473&lt;&gt;"36 送付中"),1,0))</f>
        <v/>
      </c>
      <c r="AO473" s="7" t="str">
        <f aca="false">IF(A473="","",IF(AG473&lt;&gt;"",1,0))</f>
        <v/>
      </c>
    </row>
    <row r="474" customFormat="false" ht="15" hidden="false" customHeight="false" outlineLevel="0" collapsed="false">
      <c r="AL474" s="7" t="str">
        <f aca="false">IF(A474="","",IF(COUNTIF(A474:A$2001,A474)=1,1,0))</f>
        <v/>
      </c>
      <c r="AM474" s="7" t="str">
        <f aca="true">IF(I474="","",TODAY()-I474)</f>
        <v/>
      </c>
      <c r="AN474" s="7" t="str">
        <f aca="false">IF(A474="","",IF(AND(E474&lt;&gt;"33 確認済",E474&lt;&gt;"36 送付中"),1,0))</f>
        <v/>
      </c>
      <c r="AO474" s="7" t="str">
        <f aca="false">IF(A474="","",IF(AG474&lt;&gt;"",1,0))</f>
        <v/>
      </c>
    </row>
    <row r="475" customFormat="false" ht="15" hidden="false" customHeight="false" outlineLevel="0" collapsed="false">
      <c r="AL475" s="7" t="str">
        <f aca="false">IF(A475="","",IF(COUNTIF(A475:A$2001,A475)=1,1,0))</f>
        <v/>
      </c>
      <c r="AM475" s="7" t="str">
        <f aca="true">IF(I475="","",TODAY()-I475)</f>
        <v/>
      </c>
      <c r="AN475" s="7" t="str">
        <f aca="false">IF(A475="","",IF(AND(E475&lt;&gt;"33 確認済",E475&lt;&gt;"36 送付中"),1,0))</f>
        <v/>
      </c>
      <c r="AO475" s="7" t="str">
        <f aca="false">IF(A475="","",IF(AG475&lt;&gt;"",1,0))</f>
        <v/>
      </c>
    </row>
    <row r="476" customFormat="false" ht="15" hidden="false" customHeight="false" outlineLevel="0" collapsed="false">
      <c r="AL476" s="7" t="str">
        <f aca="false">IF(A476="","",IF(COUNTIF(A476:A$2001,A476)=1,1,0))</f>
        <v/>
      </c>
      <c r="AM476" s="7" t="str">
        <f aca="true">IF(I476="","",TODAY()-I476)</f>
        <v/>
      </c>
      <c r="AN476" s="7" t="str">
        <f aca="false">IF(A476="","",IF(AND(E476&lt;&gt;"33 確認済",E476&lt;&gt;"36 送付中"),1,0))</f>
        <v/>
      </c>
      <c r="AO476" s="7" t="str">
        <f aca="false">IF(A476="","",IF(AG476&lt;&gt;"",1,0))</f>
        <v/>
      </c>
    </row>
    <row r="477" customFormat="false" ht="15" hidden="false" customHeight="false" outlineLevel="0" collapsed="false">
      <c r="AL477" s="7" t="str">
        <f aca="false">IF(A477="","",IF(COUNTIF(A477:A$2001,A477)=1,1,0))</f>
        <v/>
      </c>
      <c r="AM477" s="7" t="str">
        <f aca="true">IF(I477="","",TODAY()-I477)</f>
        <v/>
      </c>
      <c r="AN477" s="7" t="str">
        <f aca="false">IF(A477="","",IF(AND(E477&lt;&gt;"33 確認済",E477&lt;&gt;"36 送付中"),1,0))</f>
        <v/>
      </c>
      <c r="AO477" s="7" t="str">
        <f aca="false">IF(A477="","",IF(AG477&lt;&gt;"",1,0))</f>
        <v/>
      </c>
    </row>
    <row r="478" customFormat="false" ht="15" hidden="false" customHeight="false" outlineLevel="0" collapsed="false">
      <c r="AL478" s="7" t="str">
        <f aca="false">IF(A478="","",IF(COUNTIF(A478:A$2001,A478)=1,1,0))</f>
        <v/>
      </c>
      <c r="AM478" s="7" t="str">
        <f aca="true">IF(I478="","",TODAY()-I478)</f>
        <v/>
      </c>
      <c r="AN478" s="7" t="str">
        <f aca="false">IF(A478="","",IF(AND(E478&lt;&gt;"33 確認済",E478&lt;&gt;"36 送付中"),1,0))</f>
        <v/>
      </c>
      <c r="AO478" s="7" t="str">
        <f aca="false">IF(A478="","",IF(AG478&lt;&gt;"",1,0))</f>
        <v/>
      </c>
    </row>
    <row r="479" customFormat="false" ht="15" hidden="false" customHeight="false" outlineLevel="0" collapsed="false">
      <c r="AL479" s="7" t="str">
        <f aca="false">IF(A479="","",IF(COUNTIF(A479:A$2001,A479)=1,1,0))</f>
        <v/>
      </c>
      <c r="AM479" s="7" t="str">
        <f aca="true">IF(I479="","",TODAY()-I479)</f>
        <v/>
      </c>
      <c r="AN479" s="7" t="str">
        <f aca="false">IF(A479="","",IF(AND(E479&lt;&gt;"33 確認済",E479&lt;&gt;"36 送付中"),1,0))</f>
        <v/>
      </c>
      <c r="AO479" s="7" t="str">
        <f aca="false">IF(A479="","",IF(AG479&lt;&gt;"",1,0))</f>
        <v/>
      </c>
    </row>
    <row r="480" customFormat="false" ht="15" hidden="false" customHeight="false" outlineLevel="0" collapsed="false">
      <c r="AL480" s="7" t="str">
        <f aca="false">IF(A480="","",IF(COUNTIF(A480:A$2001,A480)=1,1,0))</f>
        <v/>
      </c>
      <c r="AM480" s="7" t="str">
        <f aca="true">IF(I480="","",TODAY()-I480)</f>
        <v/>
      </c>
      <c r="AN480" s="7" t="str">
        <f aca="false">IF(A480="","",IF(AND(E480&lt;&gt;"33 確認済",E480&lt;&gt;"36 送付中"),1,0))</f>
        <v/>
      </c>
      <c r="AO480" s="7" t="str">
        <f aca="false">IF(A480="","",IF(AG480&lt;&gt;"",1,0))</f>
        <v/>
      </c>
    </row>
    <row r="481" customFormat="false" ht="15" hidden="false" customHeight="false" outlineLevel="0" collapsed="false">
      <c r="AL481" s="7" t="str">
        <f aca="false">IF(A481="","",IF(COUNTIF(A481:A$2001,A481)=1,1,0))</f>
        <v/>
      </c>
      <c r="AM481" s="7" t="str">
        <f aca="true">IF(I481="","",TODAY()-I481)</f>
        <v/>
      </c>
      <c r="AN481" s="7" t="str">
        <f aca="false">IF(A481="","",IF(AND(E481&lt;&gt;"33 確認済",E481&lt;&gt;"36 送付中"),1,0))</f>
        <v/>
      </c>
      <c r="AO481" s="7" t="str">
        <f aca="false">IF(A481="","",IF(AG481&lt;&gt;"",1,0))</f>
        <v/>
      </c>
    </row>
    <row r="482" customFormat="false" ht="15" hidden="false" customHeight="false" outlineLevel="0" collapsed="false">
      <c r="AL482" s="7" t="str">
        <f aca="false">IF(A482="","",IF(COUNTIF(A482:A$2001,A482)=1,1,0))</f>
        <v/>
      </c>
      <c r="AM482" s="7" t="str">
        <f aca="true">IF(I482="","",TODAY()-I482)</f>
        <v/>
      </c>
      <c r="AN482" s="7" t="str">
        <f aca="false">IF(A482="","",IF(AND(E482&lt;&gt;"33 確認済",E482&lt;&gt;"36 送付中"),1,0))</f>
        <v/>
      </c>
      <c r="AO482" s="7" t="str">
        <f aca="false">IF(A482="","",IF(AG482&lt;&gt;"",1,0))</f>
        <v/>
      </c>
    </row>
    <row r="483" customFormat="false" ht="15" hidden="false" customHeight="false" outlineLevel="0" collapsed="false">
      <c r="AL483" s="7" t="str">
        <f aca="false">IF(A483="","",IF(COUNTIF(A483:A$2001,A483)=1,1,0))</f>
        <v/>
      </c>
      <c r="AM483" s="7" t="str">
        <f aca="true">IF(I483="","",TODAY()-I483)</f>
        <v/>
      </c>
      <c r="AN483" s="7" t="str">
        <f aca="false">IF(A483="","",IF(AND(E483&lt;&gt;"33 確認済",E483&lt;&gt;"36 送付中"),1,0))</f>
        <v/>
      </c>
      <c r="AO483" s="7" t="str">
        <f aca="false">IF(A483="","",IF(AG483&lt;&gt;"",1,0))</f>
        <v/>
      </c>
    </row>
    <row r="484" customFormat="false" ht="15" hidden="false" customHeight="false" outlineLevel="0" collapsed="false">
      <c r="AL484" s="7" t="str">
        <f aca="false">IF(A484="","",IF(COUNTIF(A484:A$2001,A484)=1,1,0))</f>
        <v/>
      </c>
      <c r="AM484" s="7" t="str">
        <f aca="true">IF(I484="","",TODAY()-I484)</f>
        <v/>
      </c>
      <c r="AN484" s="7" t="str">
        <f aca="false">IF(A484="","",IF(AND(E484&lt;&gt;"33 確認済",E484&lt;&gt;"36 送付中"),1,0))</f>
        <v/>
      </c>
      <c r="AO484" s="7" t="str">
        <f aca="false">IF(A484="","",IF(AG484&lt;&gt;"",1,0))</f>
        <v/>
      </c>
    </row>
    <row r="485" customFormat="false" ht="15" hidden="false" customHeight="false" outlineLevel="0" collapsed="false">
      <c r="AL485" s="7" t="str">
        <f aca="false">IF(A485="","",IF(COUNTIF(A485:A$2001,A485)=1,1,0))</f>
        <v/>
      </c>
      <c r="AM485" s="7" t="str">
        <f aca="true">IF(I485="","",TODAY()-I485)</f>
        <v/>
      </c>
      <c r="AN485" s="7" t="str">
        <f aca="false">IF(A485="","",IF(AND(E485&lt;&gt;"33 確認済",E485&lt;&gt;"36 送付中"),1,0))</f>
        <v/>
      </c>
      <c r="AO485" s="7" t="str">
        <f aca="false">IF(A485="","",IF(AG485&lt;&gt;"",1,0))</f>
        <v/>
      </c>
    </row>
    <row r="486" customFormat="false" ht="15" hidden="false" customHeight="false" outlineLevel="0" collapsed="false">
      <c r="AL486" s="7" t="str">
        <f aca="false">IF(A486="","",IF(COUNTIF(A486:A$2001,A486)=1,1,0))</f>
        <v/>
      </c>
      <c r="AM486" s="7" t="str">
        <f aca="true">IF(I486="","",TODAY()-I486)</f>
        <v/>
      </c>
      <c r="AN486" s="7" t="str">
        <f aca="false">IF(A486="","",IF(AND(E486&lt;&gt;"33 確認済",E486&lt;&gt;"36 送付中"),1,0))</f>
        <v/>
      </c>
      <c r="AO486" s="7" t="str">
        <f aca="false">IF(A486="","",IF(AG486&lt;&gt;"",1,0))</f>
        <v/>
      </c>
    </row>
    <row r="487" customFormat="false" ht="15" hidden="false" customHeight="false" outlineLevel="0" collapsed="false">
      <c r="AL487" s="7" t="str">
        <f aca="false">IF(A487="","",IF(COUNTIF(A487:A$2001,A487)=1,1,0))</f>
        <v/>
      </c>
      <c r="AM487" s="7" t="str">
        <f aca="true">IF(I487="","",TODAY()-I487)</f>
        <v/>
      </c>
      <c r="AN487" s="7" t="str">
        <f aca="false">IF(A487="","",IF(AND(E487&lt;&gt;"33 確認済",E487&lt;&gt;"36 送付中"),1,0))</f>
        <v/>
      </c>
      <c r="AO487" s="7" t="str">
        <f aca="false">IF(A487="","",IF(AG487&lt;&gt;"",1,0))</f>
        <v/>
      </c>
    </row>
    <row r="488" customFormat="false" ht="15" hidden="false" customHeight="false" outlineLevel="0" collapsed="false">
      <c r="AL488" s="7" t="str">
        <f aca="false">IF(A488="","",IF(COUNTIF(A488:A$2001,A488)=1,1,0))</f>
        <v/>
      </c>
      <c r="AM488" s="7" t="str">
        <f aca="true">IF(I488="","",TODAY()-I488)</f>
        <v/>
      </c>
      <c r="AN488" s="7" t="str">
        <f aca="false">IF(A488="","",IF(AND(E488&lt;&gt;"33 確認済",E488&lt;&gt;"36 送付中"),1,0))</f>
        <v/>
      </c>
      <c r="AO488" s="7" t="str">
        <f aca="false">IF(A488="","",IF(AG488&lt;&gt;"",1,0))</f>
        <v/>
      </c>
    </row>
    <row r="489" customFormat="false" ht="15" hidden="false" customHeight="false" outlineLevel="0" collapsed="false">
      <c r="AL489" s="7" t="str">
        <f aca="false">IF(A489="","",IF(COUNTIF(A489:A$2001,A489)=1,1,0))</f>
        <v/>
      </c>
      <c r="AM489" s="7" t="str">
        <f aca="true">IF(I489="","",TODAY()-I489)</f>
        <v/>
      </c>
      <c r="AN489" s="7" t="str">
        <f aca="false">IF(A489="","",IF(AND(E489&lt;&gt;"33 確認済",E489&lt;&gt;"36 送付中"),1,0))</f>
        <v/>
      </c>
      <c r="AO489" s="7" t="str">
        <f aca="false">IF(A489="","",IF(AG489&lt;&gt;"",1,0))</f>
        <v/>
      </c>
    </row>
    <row r="490" customFormat="false" ht="15" hidden="false" customHeight="false" outlineLevel="0" collapsed="false">
      <c r="AL490" s="7" t="str">
        <f aca="false">IF(A490="","",IF(COUNTIF(A490:A$2001,A490)=1,1,0))</f>
        <v/>
      </c>
      <c r="AM490" s="7" t="str">
        <f aca="true">IF(I490="","",TODAY()-I490)</f>
        <v/>
      </c>
      <c r="AN490" s="7" t="str">
        <f aca="false">IF(A490="","",IF(AND(E490&lt;&gt;"33 確認済",E490&lt;&gt;"36 送付中"),1,0))</f>
        <v/>
      </c>
      <c r="AO490" s="7" t="str">
        <f aca="false">IF(A490="","",IF(AG490&lt;&gt;"",1,0))</f>
        <v/>
      </c>
    </row>
    <row r="491" customFormat="false" ht="15" hidden="false" customHeight="false" outlineLevel="0" collapsed="false">
      <c r="AL491" s="7" t="str">
        <f aca="false">IF(A491="","",IF(COUNTIF(A491:A$2001,A491)=1,1,0))</f>
        <v/>
      </c>
      <c r="AM491" s="7" t="str">
        <f aca="true">IF(I491="","",TODAY()-I491)</f>
        <v/>
      </c>
      <c r="AN491" s="7" t="str">
        <f aca="false">IF(A491="","",IF(AND(E491&lt;&gt;"33 確認済",E491&lt;&gt;"36 送付中"),1,0))</f>
        <v/>
      </c>
      <c r="AO491" s="7" t="str">
        <f aca="false">IF(A491="","",IF(AG491&lt;&gt;"",1,0))</f>
        <v/>
      </c>
    </row>
    <row r="492" customFormat="false" ht="15" hidden="false" customHeight="false" outlineLevel="0" collapsed="false">
      <c r="AL492" s="7" t="str">
        <f aca="false">IF(A492="","",IF(COUNTIF(A492:A$2001,A492)=1,1,0))</f>
        <v/>
      </c>
      <c r="AM492" s="7" t="str">
        <f aca="true">IF(I492="","",TODAY()-I492)</f>
        <v/>
      </c>
      <c r="AN492" s="7" t="str">
        <f aca="false">IF(A492="","",IF(AND(E492&lt;&gt;"33 確認済",E492&lt;&gt;"36 送付中"),1,0))</f>
        <v/>
      </c>
      <c r="AO492" s="7" t="str">
        <f aca="false">IF(A492="","",IF(AG492&lt;&gt;"",1,0))</f>
        <v/>
      </c>
    </row>
    <row r="493" customFormat="false" ht="15" hidden="false" customHeight="false" outlineLevel="0" collapsed="false">
      <c r="AL493" s="7" t="str">
        <f aca="false">IF(A493="","",IF(COUNTIF(A493:A$2001,A493)=1,1,0))</f>
        <v/>
      </c>
      <c r="AM493" s="7" t="str">
        <f aca="true">IF(I493="","",TODAY()-I493)</f>
        <v/>
      </c>
      <c r="AN493" s="7" t="str">
        <f aca="false">IF(A493="","",IF(AND(E493&lt;&gt;"33 確認済",E493&lt;&gt;"36 送付中"),1,0))</f>
        <v/>
      </c>
      <c r="AO493" s="7" t="str">
        <f aca="false">IF(A493="","",IF(AG493&lt;&gt;"",1,0))</f>
        <v/>
      </c>
    </row>
    <row r="494" customFormat="false" ht="15" hidden="false" customHeight="false" outlineLevel="0" collapsed="false">
      <c r="AL494" s="7" t="str">
        <f aca="false">IF(A494="","",IF(COUNTIF(A494:A$2001,A494)=1,1,0))</f>
        <v/>
      </c>
      <c r="AM494" s="7" t="str">
        <f aca="true">IF(I494="","",TODAY()-I494)</f>
        <v/>
      </c>
      <c r="AN494" s="7" t="str">
        <f aca="false">IF(A494="","",IF(AND(E494&lt;&gt;"33 確認済",E494&lt;&gt;"36 送付中"),1,0))</f>
        <v/>
      </c>
      <c r="AO494" s="7" t="str">
        <f aca="false">IF(A494="","",IF(AG494&lt;&gt;"",1,0))</f>
        <v/>
      </c>
    </row>
    <row r="495" customFormat="false" ht="15" hidden="false" customHeight="false" outlineLevel="0" collapsed="false">
      <c r="AL495" s="7" t="str">
        <f aca="false">IF(A495="","",IF(COUNTIF(A495:A$2001,A495)=1,1,0))</f>
        <v/>
      </c>
      <c r="AM495" s="7" t="str">
        <f aca="true">IF(I495="","",TODAY()-I495)</f>
        <v/>
      </c>
      <c r="AN495" s="7" t="str">
        <f aca="false">IF(A495="","",IF(AND(E495&lt;&gt;"33 確認済",E495&lt;&gt;"36 送付中"),1,0))</f>
        <v/>
      </c>
      <c r="AO495" s="7" t="str">
        <f aca="false">IF(A495="","",IF(AG495&lt;&gt;"",1,0))</f>
        <v/>
      </c>
    </row>
    <row r="496" customFormat="false" ht="15" hidden="false" customHeight="false" outlineLevel="0" collapsed="false">
      <c r="AL496" s="7" t="str">
        <f aca="false">IF(A496="","",IF(COUNTIF(A496:A$2001,A496)=1,1,0))</f>
        <v/>
      </c>
      <c r="AM496" s="7" t="str">
        <f aca="true">IF(I496="","",TODAY()-I496)</f>
        <v/>
      </c>
      <c r="AN496" s="7" t="str">
        <f aca="false">IF(A496="","",IF(AND(E496&lt;&gt;"33 確認済",E496&lt;&gt;"36 送付中"),1,0))</f>
        <v/>
      </c>
      <c r="AO496" s="7" t="str">
        <f aca="false">IF(A496="","",IF(AG496&lt;&gt;"",1,0))</f>
        <v/>
      </c>
    </row>
    <row r="497" customFormat="false" ht="15" hidden="false" customHeight="false" outlineLevel="0" collapsed="false">
      <c r="AL497" s="7" t="str">
        <f aca="false">IF(A497="","",IF(COUNTIF(A497:A$2001,A497)=1,1,0))</f>
        <v/>
      </c>
      <c r="AM497" s="7" t="str">
        <f aca="true">IF(I497="","",TODAY()-I497)</f>
        <v/>
      </c>
      <c r="AN497" s="7" t="str">
        <f aca="false">IF(A497="","",IF(AND(E497&lt;&gt;"33 確認済",E497&lt;&gt;"36 送付中"),1,0))</f>
        <v/>
      </c>
      <c r="AO497" s="7" t="str">
        <f aca="false">IF(A497="","",IF(AG497&lt;&gt;"",1,0))</f>
        <v/>
      </c>
    </row>
    <row r="498" customFormat="false" ht="15" hidden="false" customHeight="false" outlineLevel="0" collapsed="false">
      <c r="AL498" s="7" t="str">
        <f aca="false">IF(A498="","",IF(COUNTIF(A498:A$2001,A498)=1,1,0))</f>
        <v/>
      </c>
      <c r="AM498" s="7" t="str">
        <f aca="true">IF(I498="","",TODAY()-I498)</f>
        <v/>
      </c>
      <c r="AN498" s="7" t="str">
        <f aca="false">IF(A498="","",IF(AND(E498&lt;&gt;"33 確認済",E498&lt;&gt;"36 送付中"),1,0))</f>
        <v/>
      </c>
      <c r="AO498" s="7" t="str">
        <f aca="false">IF(A498="","",IF(AG498&lt;&gt;"",1,0))</f>
        <v/>
      </c>
    </row>
    <row r="499" customFormat="false" ht="15" hidden="false" customHeight="false" outlineLevel="0" collapsed="false">
      <c r="AL499" s="7" t="str">
        <f aca="false">IF(A499="","",IF(COUNTIF(A499:A$2001,A499)=1,1,0))</f>
        <v/>
      </c>
      <c r="AM499" s="7" t="str">
        <f aca="true">IF(I499="","",TODAY()-I499)</f>
        <v/>
      </c>
      <c r="AN499" s="7" t="str">
        <f aca="false">IF(A499="","",IF(AND(E499&lt;&gt;"33 確認済",E499&lt;&gt;"36 送付中"),1,0))</f>
        <v/>
      </c>
      <c r="AO499" s="7" t="str">
        <f aca="false">IF(A499="","",IF(AG499&lt;&gt;"",1,0))</f>
        <v/>
      </c>
    </row>
    <row r="500" customFormat="false" ht="15" hidden="false" customHeight="false" outlineLevel="0" collapsed="false">
      <c r="AL500" s="7" t="str">
        <f aca="false">IF(A500="","",IF(COUNTIF(A500:A$2001,A500)=1,1,0))</f>
        <v/>
      </c>
      <c r="AM500" s="7" t="str">
        <f aca="true">IF(I500="","",TODAY()-I500)</f>
        <v/>
      </c>
      <c r="AN500" s="7" t="str">
        <f aca="false">IF(A500="","",IF(AND(E500&lt;&gt;"33 確認済",E500&lt;&gt;"36 送付中"),1,0))</f>
        <v/>
      </c>
      <c r="AO500" s="7" t="str">
        <f aca="false">IF(A500="","",IF(AG500&lt;&gt;"",1,0))</f>
        <v/>
      </c>
    </row>
    <row r="501" customFormat="false" ht="15" hidden="false" customHeight="false" outlineLevel="0" collapsed="false">
      <c r="AL501" s="7" t="str">
        <f aca="false">IF(A501="","",IF(COUNTIF(A501:A$2001,A501)=1,1,0))</f>
        <v/>
      </c>
      <c r="AM501" s="7" t="str">
        <f aca="true">IF(I501="","",TODAY()-I501)</f>
        <v/>
      </c>
      <c r="AN501" s="7" t="str">
        <f aca="false">IF(A501="","",IF(AND(E501&lt;&gt;"33 確認済",E501&lt;&gt;"36 送付中"),1,0))</f>
        <v/>
      </c>
      <c r="AO501" s="7" t="str">
        <f aca="false">IF(A501="","",IF(AG501&lt;&gt;"",1,0))</f>
        <v/>
      </c>
    </row>
    <row r="502" customFormat="false" ht="15" hidden="false" customHeight="false" outlineLevel="0" collapsed="false">
      <c r="AL502" s="7" t="str">
        <f aca="false">IF(A502="","",IF(COUNTIF(A502:A$2001,A502)=1,1,0))</f>
        <v/>
      </c>
      <c r="AM502" s="7" t="str">
        <f aca="true">IF(I502="","",TODAY()-I502)</f>
        <v/>
      </c>
      <c r="AN502" s="7" t="str">
        <f aca="false">IF(A502="","",IF(AND(E502&lt;&gt;"33 確認済",E502&lt;&gt;"36 送付中"),1,0))</f>
        <v/>
      </c>
      <c r="AO502" s="7" t="str">
        <f aca="false">IF(A502="","",IF(AG502&lt;&gt;"",1,0))</f>
        <v/>
      </c>
    </row>
    <row r="503" customFormat="false" ht="15" hidden="false" customHeight="false" outlineLevel="0" collapsed="false">
      <c r="AL503" s="7" t="str">
        <f aca="false">IF(A503="","",IF(COUNTIF(A503:A$2001,A503)=1,1,0))</f>
        <v/>
      </c>
      <c r="AM503" s="7" t="str">
        <f aca="true">IF(I503="","",TODAY()-I503)</f>
        <v/>
      </c>
      <c r="AN503" s="7" t="str">
        <f aca="false">IF(A503="","",IF(AND(E503&lt;&gt;"33 確認済",E503&lt;&gt;"36 送付中"),1,0))</f>
        <v/>
      </c>
      <c r="AO503" s="7" t="str">
        <f aca="false">IF(A503="","",IF(AG503&lt;&gt;"",1,0))</f>
        <v/>
      </c>
    </row>
    <row r="504" customFormat="false" ht="15" hidden="false" customHeight="false" outlineLevel="0" collapsed="false">
      <c r="AL504" s="7" t="str">
        <f aca="false">IF(A504="","",IF(COUNTIF(A504:A$2001,A504)=1,1,0))</f>
        <v/>
      </c>
      <c r="AM504" s="7" t="str">
        <f aca="true">IF(I504="","",TODAY()-I504)</f>
        <v/>
      </c>
      <c r="AN504" s="7" t="str">
        <f aca="false">IF(A504="","",IF(AND(E504&lt;&gt;"33 確認済",E504&lt;&gt;"36 送付中"),1,0))</f>
        <v/>
      </c>
      <c r="AO504" s="7" t="str">
        <f aca="false">IF(A504="","",IF(AG504&lt;&gt;"",1,0))</f>
        <v/>
      </c>
    </row>
    <row r="505" customFormat="false" ht="15" hidden="false" customHeight="false" outlineLevel="0" collapsed="false">
      <c r="AL505" s="7" t="str">
        <f aca="false">IF(A505="","",IF(COUNTIF(A505:A$2001,A505)=1,1,0))</f>
        <v/>
      </c>
      <c r="AM505" s="7" t="str">
        <f aca="true">IF(I505="","",TODAY()-I505)</f>
        <v/>
      </c>
      <c r="AN505" s="7" t="str">
        <f aca="false">IF(A505="","",IF(AND(E505&lt;&gt;"33 確認済",E505&lt;&gt;"36 送付中"),1,0))</f>
        <v/>
      </c>
      <c r="AO505" s="7" t="str">
        <f aca="false">IF(A505="","",IF(AG505&lt;&gt;"",1,0))</f>
        <v/>
      </c>
    </row>
    <row r="506" customFormat="false" ht="15" hidden="false" customHeight="false" outlineLevel="0" collapsed="false">
      <c r="AL506" s="7" t="str">
        <f aca="false">IF(A506="","",IF(COUNTIF(A506:A$2001,A506)=1,1,0))</f>
        <v/>
      </c>
      <c r="AM506" s="7" t="str">
        <f aca="true">IF(I506="","",TODAY()-I506)</f>
        <v/>
      </c>
      <c r="AN506" s="7" t="str">
        <f aca="false">IF(A506="","",IF(AND(E506&lt;&gt;"33 確認済",E506&lt;&gt;"36 送付中"),1,0))</f>
        <v/>
      </c>
      <c r="AO506" s="7" t="str">
        <f aca="false">IF(A506="","",IF(AG506&lt;&gt;"",1,0))</f>
        <v/>
      </c>
    </row>
    <row r="507" customFormat="false" ht="15" hidden="false" customHeight="false" outlineLevel="0" collapsed="false">
      <c r="AL507" s="7" t="str">
        <f aca="false">IF(A507="","",IF(COUNTIF(A507:A$2001,A507)=1,1,0))</f>
        <v/>
      </c>
      <c r="AM507" s="7" t="str">
        <f aca="true">IF(I507="","",TODAY()-I507)</f>
        <v/>
      </c>
      <c r="AN507" s="7" t="str">
        <f aca="false">IF(A507="","",IF(AND(E507&lt;&gt;"33 確認済",E507&lt;&gt;"36 送付中"),1,0))</f>
        <v/>
      </c>
      <c r="AO507" s="7" t="str">
        <f aca="false">IF(A507="","",IF(AG507&lt;&gt;"",1,0))</f>
        <v/>
      </c>
    </row>
    <row r="508" customFormat="false" ht="15" hidden="false" customHeight="false" outlineLevel="0" collapsed="false">
      <c r="AL508" s="7" t="str">
        <f aca="false">IF(A508="","",IF(COUNTIF(A508:A$2001,A508)=1,1,0))</f>
        <v/>
      </c>
      <c r="AM508" s="7" t="str">
        <f aca="true">IF(I508="","",TODAY()-I508)</f>
        <v/>
      </c>
      <c r="AN508" s="7" t="str">
        <f aca="false">IF(A508="","",IF(AND(E508&lt;&gt;"33 確認済",E508&lt;&gt;"36 送付中"),1,0))</f>
        <v/>
      </c>
      <c r="AO508" s="7" t="str">
        <f aca="false">IF(A508="","",IF(AG508&lt;&gt;"",1,0))</f>
        <v/>
      </c>
    </row>
    <row r="509" customFormat="false" ht="15" hidden="false" customHeight="false" outlineLevel="0" collapsed="false">
      <c r="AL509" s="7" t="str">
        <f aca="false">IF(A509="","",IF(COUNTIF(A509:A$2001,A509)=1,1,0))</f>
        <v/>
      </c>
      <c r="AM509" s="7" t="str">
        <f aca="true">IF(I509="","",TODAY()-I509)</f>
        <v/>
      </c>
      <c r="AN509" s="7" t="str">
        <f aca="false">IF(A509="","",IF(AND(E509&lt;&gt;"33 確認済",E509&lt;&gt;"36 送付中"),1,0))</f>
        <v/>
      </c>
      <c r="AO509" s="7" t="str">
        <f aca="false">IF(A509="","",IF(AG509&lt;&gt;"",1,0))</f>
        <v/>
      </c>
    </row>
    <row r="510" customFormat="false" ht="15" hidden="false" customHeight="false" outlineLevel="0" collapsed="false">
      <c r="AL510" s="7" t="str">
        <f aca="false">IF(A510="","",IF(COUNTIF(A510:A$2001,A510)=1,1,0))</f>
        <v/>
      </c>
      <c r="AM510" s="7" t="str">
        <f aca="true">IF(I510="","",TODAY()-I510)</f>
        <v/>
      </c>
      <c r="AN510" s="7" t="str">
        <f aca="false">IF(A510="","",IF(AND(E510&lt;&gt;"33 確認済",E510&lt;&gt;"36 送付中"),1,0))</f>
        <v/>
      </c>
      <c r="AO510" s="7" t="str">
        <f aca="false">IF(A510="","",IF(AG510&lt;&gt;"",1,0))</f>
        <v/>
      </c>
    </row>
    <row r="511" customFormat="false" ht="15" hidden="false" customHeight="false" outlineLevel="0" collapsed="false">
      <c r="AL511" s="7" t="str">
        <f aca="false">IF(A511="","",IF(COUNTIF(A511:A$2001,A511)=1,1,0))</f>
        <v/>
      </c>
      <c r="AM511" s="7" t="str">
        <f aca="true">IF(I511="","",TODAY()-I511)</f>
        <v/>
      </c>
      <c r="AN511" s="7" t="str">
        <f aca="false">IF(A511="","",IF(AND(E511&lt;&gt;"33 確認済",E511&lt;&gt;"36 送付中"),1,0))</f>
        <v/>
      </c>
      <c r="AO511" s="7" t="str">
        <f aca="false">IF(A511="","",IF(AG511&lt;&gt;"",1,0))</f>
        <v/>
      </c>
    </row>
    <row r="512" customFormat="false" ht="15" hidden="false" customHeight="false" outlineLevel="0" collapsed="false">
      <c r="AL512" s="7" t="str">
        <f aca="false">IF(A512="","",IF(COUNTIF(A512:A$2001,A512)=1,1,0))</f>
        <v/>
      </c>
      <c r="AM512" s="7" t="str">
        <f aca="true">IF(I512="","",TODAY()-I512)</f>
        <v/>
      </c>
      <c r="AN512" s="7" t="str">
        <f aca="false">IF(A512="","",IF(AND(E512&lt;&gt;"33 確認済",E512&lt;&gt;"36 送付中"),1,0))</f>
        <v/>
      </c>
      <c r="AO512" s="7" t="str">
        <f aca="false">IF(A512="","",IF(AG512&lt;&gt;"",1,0))</f>
        <v/>
      </c>
    </row>
    <row r="513" customFormat="false" ht="15" hidden="false" customHeight="false" outlineLevel="0" collapsed="false">
      <c r="AL513" s="7" t="str">
        <f aca="false">IF(A513="","",IF(COUNTIF(A513:A$2001,A513)=1,1,0))</f>
        <v/>
      </c>
      <c r="AM513" s="7" t="str">
        <f aca="true">IF(I513="","",TODAY()-I513)</f>
        <v/>
      </c>
      <c r="AN513" s="7" t="str">
        <f aca="false">IF(A513="","",IF(AND(E513&lt;&gt;"33 確認済",E513&lt;&gt;"36 送付中"),1,0))</f>
        <v/>
      </c>
      <c r="AO513" s="7" t="str">
        <f aca="false">IF(A513="","",IF(AG513&lt;&gt;"",1,0))</f>
        <v/>
      </c>
    </row>
    <row r="514" customFormat="false" ht="15" hidden="false" customHeight="false" outlineLevel="0" collapsed="false">
      <c r="AL514" s="7" t="str">
        <f aca="false">IF(A514="","",IF(COUNTIF(A514:A$2001,A514)=1,1,0))</f>
        <v/>
      </c>
      <c r="AM514" s="7" t="str">
        <f aca="true">IF(I514="","",TODAY()-I514)</f>
        <v/>
      </c>
      <c r="AN514" s="7" t="str">
        <f aca="false">IF(A514="","",IF(AND(E514&lt;&gt;"33 確認済",E514&lt;&gt;"36 送付中"),1,0))</f>
        <v/>
      </c>
      <c r="AO514" s="7" t="str">
        <f aca="false">IF(A514="","",IF(AG514&lt;&gt;"",1,0))</f>
        <v/>
      </c>
    </row>
    <row r="515" customFormat="false" ht="15" hidden="false" customHeight="false" outlineLevel="0" collapsed="false">
      <c r="AL515" s="7" t="str">
        <f aca="false">IF(A515="","",IF(COUNTIF(A515:A$2001,A515)=1,1,0))</f>
        <v/>
      </c>
      <c r="AM515" s="7" t="str">
        <f aca="true">IF(I515="","",TODAY()-I515)</f>
        <v/>
      </c>
      <c r="AN515" s="7" t="str">
        <f aca="false">IF(A515="","",IF(AND(E515&lt;&gt;"33 確認済",E515&lt;&gt;"36 送付中"),1,0))</f>
        <v/>
      </c>
      <c r="AO515" s="7" t="str">
        <f aca="false">IF(A515="","",IF(AG515&lt;&gt;"",1,0))</f>
        <v/>
      </c>
    </row>
    <row r="516" customFormat="false" ht="15" hidden="false" customHeight="false" outlineLevel="0" collapsed="false">
      <c r="AL516" s="7" t="str">
        <f aca="false">IF(A516="","",IF(COUNTIF(A516:A$2001,A516)=1,1,0))</f>
        <v/>
      </c>
      <c r="AM516" s="7" t="str">
        <f aca="true">IF(I516="","",TODAY()-I516)</f>
        <v/>
      </c>
      <c r="AN516" s="7" t="str">
        <f aca="false">IF(A516="","",IF(AND(E516&lt;&gt;"33 確認済",E516&lt;&gt;"36 送付中"),1,0))</f>
        <v/>
      </c>
      <c r="AO516" s="7" t="str">
        <f aca="false">IF(A516="","",IF(AG516&lt;&gt;"",1,0))</f>
        <v/>
      </c>
    </row>
    <row r="517" customFormat="false" ht="15" hidden="false" customHeight="false" outlineLevel="0" collapsed="false">
      <c r="AL517" s="7" t="str">
        <f aca="false">IF(A517="","",IF(COUNTIF(A517:A$2001,A517)=1,1,0))</f>
        <v/>
      </c>
      <c r="AM517" s="7" t="str">
        <f aca="true">IF(I517="","",TODAY()-I517)</f>
        <v/>
      </c>
      <c r="AN517" s="7" t="str">
        <f aca="false">IF(A517="","",IF(AND(E517&lt;&gt;"33 確認済",E517&lt;&gt;"36 送付中"),1,0))</f>
        <v/>
      </c>
      <c r="AO517" s="7" t="str">
        <f aca="false">IF(A517="","",IF(AG517&lt;&gt;"",1,0))</f>
        <v/>
      </c>
    </row>
    <row r="518" customFormat="false" ht="15" hidden="false" customHeight="false" outlineLevel="0" collapsed="false">
      <c r="AL518" s="7" t="str">
        <f aca="false">IF(A518="","",IF(COUNTIF(A518:A$2001,A518)=1,1,0))</f>
        <v/>
      </c>
      <c r="AM518" s="7" t="str">
        <f aca="true">IF(I518="","",TODAY()-I518)</f>
        <v/>
      </c>
      <c r="AN518" s="7" t="str">
        <f aca="false">IF(A518="","",IF(AND(E518&lt;&gt;"33 確認済",E518&lt;&gt;"36 送付中"),1,0))</f>
        <v/>
      </c>
      <c r="AO518" s="7" t="str">
        <f aca="false">IF(A518="","",IF(AG518&lt;&gt;"",1,0))</f>
        <v/>
      </c>
    </row>
    <row r="519" customFormat="false" ht="15" hidden="false" customHeight="false" outlineLevel="0" collapsed="false">
      <c r="AL519" s="7" t="str">
        <f aca="false">IF(A519="","",IF(COUNTIF(A519:A$2001,A519)=1,1,0))</f>
        <v/>
      </c>
      <c r="AM519" s="7" t="str">
        <f aca="true">IF(I519="","",TODAY()-I519)</f>
        <v/>
      </c>
      <c r="AN519" s="7" t="str">
        <f aca="false">IF(A519="","",IF(AND(E519&lt;&gt;"33 確認済",E519&lt;&gt;"36 送付中"),1,0))</f>
        <v/>
      </c>
      <c r="AO519" s="7" t="str">
        <f aca="false">IF(A519="","",IF(AG519&lt;&gt;"",1,0))</f>
        <v/>
      </c>
    </row>
    <row r="520" customFormat="false" ht="15" hidden="false" customHeight="false" outlineLevel="0" collapsed="false">
      <c r="AL520" s="7" t="str">
        <f aca="false">IF(A520="","",IF(COUNTIF(A520:A$2001,A520)=1,1,0))</f>
        <v/>
      </c>
      <c r="AM520" s="7" t="str">
        <f aca="true">IF(I520="","",TODAY()-I520)</f>
        <v/>
      </c>
      <c r="AN520" s="7" t="str">
        <f aca="false">IF(A520="","",IF(AND(E520&lt;&gt;"33 確認済",E520&lt;&gt;"36 送付中"),1,0))</f>
        <v/>
      </c>
      <c r="AO520" s="7" t="str">
        <f aca="false">IF(A520="","",IF(AG520&lt;&gt;"",1,0))</f>
        <v/>
      </c>
    </row>
    <row r="521" customFormat="false" ht="15" hidden="false" customHeight="false" outlineLevel="0" collapsed="false">
      <c r="AL521" s="7" t="str">
        <f aca="false">IF(A521="","",IF(COUNTIF(A521:A$2001,A521)=1,1,0))</f>
        <v/>
      </c>
      <c r="AM521" s="7" t="str">
        <f aca="true">IF(I521="","",TODAY()-I521)</f>
        <v/>
      </c>
      <c r="AN521" s="7" t="str">
        <f aca="false">IF(A521="","",IF(AND(E521&lt;&gt;"33 確認済",E521&lt;&gt;"36 送付中"),1,0))</f>
        <v/>
      </c>
      <c r="AO521" s="7" t="str">
        <f aca="false">IF(A521="","",IF(AG521&lt;&gt;"",1,0))</f>
        <v/>
      </c>
    </row>
    <row r="522" customFormat="false" ht="15" hidden="false" customHeight="false" outlineLevel="0" collapsed="false">
      <c r="AL522" s="7" t="str">
        <f aca="false">IF(A522="","",IF(COUNTIF(A522:A$2001,A522)=1,1,0))</f>
        <v/>
      </c>
      <c r="AM522" s="7" t="str">
        <f aca="true">IF(I522="","",TODAY()-I522)</f>
        <v/>
      </c>
      <c r="AN522" s="7" t="str">
        <f aca="false">IF(A522="","",IF(AND(E522&lt;&gt;"33 確認済",E522&lt;&gt;"36 送付中"),1,0))</f>
        <v/>
      </c>
      <c r="AO522" s="7" t="str">
        <f aca="false">IF(A522="","",IF(AG522&lt;&gt;"",1,0))</f>
        <v/>
      </c>
    </row>
    <row r="523" customFormat="false" ht="15" hidden="false" customHeight="false" outlineLevel="0" collapsed="false">
      <c r="AL523" s="7" t="str">
        <f aca="false">IF(A523="","",IF(COUNTIF(A523:A$2001,A523)=1,1,0))</f>
        <v/>
      </c>
      <c r="AM523" s="7" t="str">
        <f aca="true">IF(I523="","",TODAY()-I523)</f>
        <v/>
      </c>
      <c r="AN523" s="7" t="str">
        <f aca="false">IF(A523="","",IF(AND(E523&lt;&gt;"33 確認済",E523&lt;&gt;"36 送付中"),1,0))</f>
        <v/>
      </c>
      <c r="AO523" s="7" t="str">
        <f aca="false">IF(A523="","",IF(AG523&lt;&gt;"",1,0))</f>
        <v/>
      </c>
    </row>
    <row r="524" customFormat="false" ht="15" hidden="false" customHeight="false" outlineLevel="0" collapsed="false">
      <c r="AL524" s="7" t="str">
        <f aca="false">IF(A524="","",IF(COUNTIF(A524:A$2001,A524)=1,1,0))</f>
        <v/>
      </c>
      <c r="AM524" s="7" t="str">
        <f aca="true">IF(I524="","",TODAY()-I524)</f>
        <v/>
      </c>
      <c r="AN524" s="7" t="str">
        <f aca="false">IF(A524="","",IF(AND(E524&lt;&gt;"33 確認済",E524&lt;&gt;"36 送付中"),1,0))</f>
        <v/>
      </c>
      <c r="AO524" s="7" t="str">
        <f aca="false">IF(A524="","",IF(AG524&lt;&gt;"",1,0))</f>
        <v/>
      </c>
    </row>
    <row r="525" customFormat="false" ht="15" hidden="false" customHeight="false" outlineLevel="0" collapsed="false">
      <c r="AL525" s="7" t="str">
        <f aca="false">IF(A525="","",IF(COUNTIF(A525:A$2001,A525)=1,1,0))</f>
        <v/>
      </c>
      <c r="AM525" s="7" t="str">
        <f aca="true">IF(I525="","",TODAY()-I525)</f>
        <v/>
      </c>
      <c r="AN525" s="7" t="str">
        <f aca="false">IF(A525="","",IF(AND(E525&lt;&gt;"33 確認済",E525&lt;&gt;"36 送付中"),1,0))</f>
        <v/>
      </c>
      <c r="AO525" s="7" t="str">
        <f aca="false">IF(A525="","",IF(AG525&lt;&gt;"",1,0))</f>
        <v/>
      </c>
    </row>
    <row r="526" customFormat="false" ht="15" hidden="false" customHeight="false" outlineLevel="0" collapsed="false">
      <c r="AL526" s="7" t="str">
        <f aca="false">IF(A526="","",IF(COUNTIF(A526:A$2001,A526)=1,1,0))</f>
        <v/>
      </c>
      <c r="AM526" s="7" t="str">
        <f aca="true">IF(I526="","",TODAY()-I526)</f>
        <v/>
      </c>
      <c r="AN526" s="7" t="str">
        <f aca="false">IF(A526="","",IF(AND(E526&lt;&gt;"33 確認済",E526&lt;&gt;"36 送付中"),1,0))</f>
        <v/>
      </c>
      <c r="AO526" s="7" t="str">
        <f aca="false">IF(A526="","",IF(AG526&lt;&gt;"",1,0))</f>
        <v/>
      </c>
    </row>
    <row r="527" customFormat="false" ht="15" hidden="false" customHeight="false" outlineLevel="0" collapsed="false">
      <c r="AL527" s="7" t="str">
        <f aca="false">IF(A527="","",IF(COUNTIF(A527:A$2001,A527)=1,1,0))</f>
        <v/>
      </c>
      <c r="AM527" s="7" t="str">
        <f aca="true">IF(I527="","",TODAY()-I527)</f>
        <v/>
      </c>
      <c r="AN527" s="7" t="str">
        <f aca="false">IF(A527="","",IF(AND(E527&lt;&gt;"33 確認済",E527&lt;&gt;"36 送付中"),1,0))</f>
        <v/>
      </c>
      <c r="AO527" s="7" t="str">
        <f aca="false">IF(A527="","",IF(AG527&lt;&gt;"",1,0))</f>
        <v/>
      </c>
    </row>
    <row r="528" customFormat="false" ht="15" hidden="false" customHeight="false" outlineLevel="0" collapsed="false">
      <c r="AL528" s="7" t="str">
        <f aca="false">IF(A528="","",IF(COUNTIF(A528:A$2001,A528)=1,1,0))</f>
        <v/>
      </c>
      <c r="AM528" s="7" t="str">
        <f aca="true">IF(I528="","",TODAY()-I528)</f>
        <v/>
      </c>
      <c r="AN528" s="7" t="str">
        <f aca="false">IF(A528="","",IF(AND(E528&lt;&gt;"33 確認済",E528&lt;&gt;"36 送付中"),1,0))</f>
        <v/>
      </c>
      <c r="AO528" s="7" t="str">
        <f aca="false">IF(A528="","",IF(AG528&lt;&gt;"",1,0))</f>
        <v/>
      </c>
    </row>
    <row r="529" customFormat="false" ht="15" hidden="false" customHeight="false" outlineLevel="0" collapsed="false">
      <c r="AL529" s="7" t="str">
        <f aca="false">IF(A529="","",IF(COUNTIF(A529:A$2001,A529)=1,1,0))</f>
        <v/>
      </c>
      <c r="AM529" s="7" t="str">
        <f aca="true">IF(I529="","",TODAY()-I529)</f>
        <v/>
      </c>
      <c r="AN529" s="7" t="str">
        <f aca="false">IF(A529="","",IF(AND(E529&lt;&gt;"33 確認済",E529&lt;&gt;"36 送付中"),1,0))</f>
        <v/>
      </c>
      <c r="AO529" s="7" t="str">
        <f aca="false">IF(A529="","",IF(AG529&lt;&gt;"",1,0))</f>
        <v/>
      </c>
    </row>
    <row r="530" customFormat="false" ht="15" hidden="false" customHeight="false" outlineLevel="0" collapsed="false">
      <c r="AL530" s="7" t="str">
        <f aca="false">IF(A530="","",IF(COUNTIF(A530:A$2001,A530)=1,1,0))</f>
        <v/>
      </c>
      <c r="AM530" s="7" t="str">
        <f aca="true">IF(I530="","",TODAY()-I530)</f>
        <v/>
      </c>
      <c r="AN530" s="7" t="str">
        <f aca="false">IF(A530="","",IF(AND(E530&lt;&gt;"33 確認済",E530&lt;&gt;"36 送付中"),1,0))</f>
        <v/>
      </c>
      <c r="AO530" s="7" t="str">
        <f aca="false">IF(A530="","",IF(AG530&lt;&gt;"",1,0))</f>
        <v/>
      </c>
    </row>
    <row r="531" customFormat="false" ht="15" hidden="false" customHeight="false" outlineLevel="0" collapsed="false">
      <c r="AL531" s="7" t="str">
        <f aca="false">IF(A531="","",IF(COUNTIF(A531:A$2001,A531)=1,1,0))</f>
        <v/>
      </c>
      <c r="AM531" s="7" t="str">
        <f aca="true">IF(I531="","",TODAY()-I531)</f>
        <v/>
      </c>
      <c r="AN531" s="7" t="str">
        <f aca="false">IF(A531="","",IF(AND(E531&lt;&gt;"33 確認済",E531&lt;&gt;"36 送付中"),1,0))</f>
        <v/>
      </c>
      <c r="AO531" s="7" t="str">
        <f aca="false">IF(A531="","",IF(AG531&lt;&gt;"",1,0))</f>
        <v/>
      </c>
    </row>
    <row r="532" customFormat="false" ht="15" hidden="false" customHeight="false" outlineLevel="0" collapsed="false">
      <c r="AL532" s="7" t="str">
        <f aca="false">IF(A532="","",IF(COUNTIF(A532:A$2001,A532)=1,1,0))</f>
        <v/>
      </c>
      <c r="AM532" s="7" t="str">
        <f aca="true">IF(I532="","",TODAY()-I532)</f>
        <v/>
      </c>
      <c r="AN532" s="7" t="str">
        <f aca="false">IF(A532="","",IF(AND(E532&lt;&gt;"33 確認済",E532&lt;&gt;"36 送付中"),1,0))</f>
        <v/>
      </c>
      <c r="AO532" s="7" t="str">
        <f aca="false">IF(A532="","",IF(AG532&lt;&gt;"",1,0))</f>
        <v/>
      </c>
    </row>
    <row r="533" customFormat="false" ht="15" hidden="false" customHeight="false" outlineLevel="0" collapsed="false">
      <c r="AL533" s="7" t="str">
        <f aca="false">IF(A533="","",IF(COUNTIF(A533:A$2001,A533)=1,1,0))</f>
        <v/>
      </c>
      <c r="AM533" s="7" t="str">
        <f aca="true">IF(I533="","",TODAY()-I533)</f>
        <v/>
      </c>
      <c r="AN533" s="7" t="str">
        <f aca="false">IF(A533="","",IF(AND(E533&lt;&gt;"33 確認済",E533&lt;&gt;"36 送付中"),1,0))</f>
        <v/>
      </c>
      <c r="AO533" s="7" t="str">
        <f aca="false">IF(A533="","",IF(AG533&lt;&gt;"",1,0))</f>
        <v/>
      </c>
    </row>
    <row r="534" customFormat="false" ht="15" hidden="false" customHeight="false" outlineLevel="0" collapsed="false">
      <c r="AL534" s="7" t="str">
        <f aca="false">IF(A534="","",IF(COUNTIF(A534:A$2001,A534)=1,1,0))</f>
        <v/>
      </c>
      <c r="AM534" s="7" t="str">
        <f aca="true">IF(I534="","",TODAY()-I534)</f>
        <v/>
      </c>
      <c r="AN534" s="7" t="str">
        <f aca="false">IF(A534="","",IF(AND(E534&lt;&gt;"33 確認済",E534&lt;&gt;"36 送付中"),1,0))</f>
        <v/>
      </c>
      <c r="AO534" s="7" t="str">
        <f aca="false">IF(A534="","",IF(AG534&lt;&gt;"",1,0))</f>
        <v/>
      </c>
    </row>
    <row r="535" customFormat="false" ht="15" hidden="false" customHeight="false" outlineLevel="0" collapsed="false">
      <c r="AL535" s="7" t="str">
        <f aca="false">IF(A535="","",IF(COUNTIF(A535:A$2001,A535)=1,1,0))</f>
        <v/>
      </c>
      <c r="AM535" s="7" t="str">
        <f aca="true">IF(I535="","",TODAY()-I535)</f>
        <v/>
      </c>
      <c r="AN535" s="7" t="str">
        <f aca="false">IF(A535="","",IF(AND(E535&lt;&gt;"33 確認済",E535&lt;&gt;"36 送付中"),1,0))</f>
        <v/>
      </c>
      <c r="AO535" s="7" t="str">
        <f aca="false">IF(A535="","",IF(AG535&lt;&gt;"",1,0))</f>
        <v/>
      </c>
    </row>
    <row r="536" customFormat="false" ht="15" hidden="false" customHeight="false" outlineLevel="0" collapsed="false">
      <c r="AL536" s="7" t="str">
        <f aca="false">IF(A536="","",IF(COUNTIF(A536:A$2001,A536)=1,1,0))</f>
        <v/>
      </c>
      <c r="AM536" s="7" t="str">
        <f aca="true">IF(I536="","",TODAY()-I536)</f>
        <v/>
      </c>
      <c r="AN536" s="7" t="str">
        <f aca="false">IF(A536="","",IF(AND(E536&lt;&gt;"33 確認済",E536&lt;&gt;"36 送付中"),1,0))</f>
        <v/>
      </c>
      <c r="AO536" s="7" t="str">
        <f aca="false">IF(A536="","",IF(AG536&lt;&gt;"",1,0))</f>
        <v/>
      </c>
    </row>
    <row r="537" customFormat="false" ht="15" hidden="false" customHeight="false" outlineLevel="0" collapsed="false">
      <c r="AL537" s="7" t="str">
        <f aca="false">IF(A537="","",IF(COUNTIF(A537:A$2001,A537)=1,1,0))</f>
        <v/>
      </c>
      <c r="AM537" s="7" t="str">
        <f aca="true">IF(I537="","",TODAY()-I537)</f>
        <v/>
      </c>
      <c r="AN537" s="7" t="str">
        <f aca="false">IF(A537="","",IF(AND(E537&lt;&gt;"33 確認済",E537&lt;&gt;"36 送付中"),1,0))</f>
        <v/>
      </c>
      <c r="AO537" s="7" t="str">
        <f aca="false">IF(A537="","",IF(AG537&lt;&gt;"",1,0))</f>
        <v/>
      </c>
    </row>
    <row r="538" customFormat="false" ht="15" hidden="false" customHeight="false" outlineLevel="0" collapsed="false">
      <c r="AL538" s="7" t="str">
        <f aca="false">IF(A538="","",IF(COUNTIF(A538:A$2001,A538)=1,1,0))</f>
        <v/>
      </c>
      <c r="AM538" s="7" t="str">
        <f aca="true">IF(I538="","",TODAY()-I538)</f>
        <v/>
      </c>
      <c r="AN538" s="7" t="str">
        <f aca="false">IF(A538="","",IF(AND(E538&lt;&gt;"33 確認済",E538&lt;&gt;"36 送付中"),1,0))</f>
        <v/>
      </c>
      <c r="AO538" s="7" t="str">
        <f aca="false">IF(A538="","",IF(AG538&lt;&gt;"",1,0))</f>
        <v/>
      </c>
    </row>
    <row r="539" customFormat="false" ht="15" hidden="false" customHeight="false" outlineLevel="0" collapsed="false">
      <c r="AL539" s="7" t="str">
        <f aca="false">IF(A539="","",IF(COUNTIF(A539:A$2001,A539)=1,1,0))</f>
        <v/>
      </c>
      <c r="AM539" s="7" t="str">
        <f aca="true">IF(I539="","",TODAY()-I539)</f>
        <v/>
      </c>
      <c r="AN539" s="7" t="str">
        <f aca="false">IF(A539="","",IF(AND(E539&lt;&gt;"33 確認済",E539&lt;&gt;"36 送付中"),1,0))</f>
        <v/>
      </c>
      <c r="AO539" s="7" t="str">
        <f aca="false">IF(A539="","",IF(AG539&lt;&gt;"",1,0))</f>
        <v/>
      </c>
    </row>
    <row r="540" customFormat="false" ht="15" hidden="false" customHeight="false" outlineLevel="0" collapsed="false">
      <c r="AL540" s="7" t="str">
        <f aca="false">IF(A540="","",IF(COUNTIF(A540:A$2001,A540)=1,1,0))</f>
        <v/>
      </c>
      <c r="AM540" s="7" t="str">
        <f aca="true">IF(I540="","",TODAY()-I540)</f>
        <v/>
      </c>
      <c r="AN540" s="7" t="str">
        <f aca="false">IF(A540="","",IF(AND(E540&lt;&gt;"33 確認済",E540&lt;&gt;"36 送付中"),1,0))</f>
        <v/>
      </c>
      <c r="AO540" s="7" t="str">
        <f aca="false">IF(A540="","",IF(AG540&lt;&gt;"",1,0))</f>
        <v/>
      </c>
    </row>
    <row r="541" customFormat="false" ht="15" hidden="false" customHeight="false" outlineLevel="0" collapsed="false">
      <c r="AL541" s="7" t="str">
        <f aca="false">IF(A541="","",IF(COUNTIF(A541:A$2001,A541)=1,1,0))</f>
        <v/>
      </c>
      <c r="AM541" s="7" t="str">
        <f aca="true">IF(I541="","",TODAY()-I541)</f>
        <v/>
      </c>
      <c r="AN541" s="7" t="str">
        <f aca="false">IF(A541="","",IF(AND(E541&lt;&gt;"33 確認済",E541&lt;&gt;"36 送付中"),1,0))</f>
        <v/>
      </c>
      <c r="AO541" s="7" t="str">
        <f aca="false">IF(A541="","",IF(AG541&lt;&gt;"",1,0))</f>
        <v/>
      </c>
    </row>
    <row r="542" customFormat="false" ht="15" hidden="false" customHeight="false" outlineLevel="0" collapsed="false">
      <c r="AL542" s="7" t="str">
        <f aca="false">IF(A542="","",IF(COUNTIF(A542:A$2001,A542)=1,1,0))</f>
        <v/>
      </c>
      <c r="AM542" s="7" t="str">
        <f aca="true">IF(I542="","",TODAY()-I542)</f>
        <v/>
      </c>
      <c r="AN542" s="7" t="str">
        <f aca="false">IF(A542="","",IF(AND(E542&lt;&gt;"33 確認済",E542&lt;&gt;"36 送付中"),1,0))</f>
        <v/>
      </c>
      <c r="AO542" s="7" t="str">
        <f aca="false">IF(A542="","",IF(AG542&lt;&gt;"",1,0))</f>
        <v/>
      </c>
    </row>
    <row r="543" customFormat="false" ht="15" hidden="false" customHeight="false" outlineLevel="0" collapsed="false">
      <c r="AL543" s="7" t="str">
        <f aca="false">IF(A543="","",IF(COUNTIF(A543:A$2001,A543)=1,1,0))</f>
        <v/>
      </c>
      <c r="AM543" s="7" t="str">
        <f aca="true">IF(I543="","",TODAY()-I543)</f>
        <v/>
      </c>
      <c r="AN543" s="7" t="str">
        <f aca="false">IF(A543="","",IF(AND(E543&lt;&gt;"33 確認済",E543&lt;&gt;"36 送付中"),1,0))</f>
        <v/>
      </c>
      <c r="AO543" s="7" t="str">
        <f aca="false">IF(A543="","",IF(AG543&lt;&gt;"",1,0))</f>
        <v/>
      </c>
    </row>
    <row r="544" customFormat="false" ht="15" hidden="false" customHeight="false" outlineLevel="0" collapsed="false">
      <c r="AL544" s="7" t="str">
        <f aca="false">IF(A544="","",IF(COUNTIF(A544:A$2001,A544)=1,1,0))</f>
        <v/>
      </c>
      <c r="AM544" s="7" t="str">
        <f aca="true">IF(I544="","",TODAY()-I544)</f>
        <v/>
      </c>
      <c r="AN544" s="7" t="str">
        <f aca="false">IF(A544="","",IF(AND(E544&lt;&gt;"33 確認済",E544&lt;&gt;"36 送付中"),1,0))</f>
        <v/>
      </c>
      <c r="AO544" s="7" t="str">
        <f aca="false">IF(A544="","",IF(AG544&lt;&gt;"",1,0))</f>
        <v/>
      </c>
    </row>
    <row r="545" customFormat="false" ht="15" hidden="false" customHeight="false" outlineLevel="0" collapsed="false">
      <c r="AL545" s="7" t="str">
        <f aca="false">IF(A545="","",IF(COUNTIF(A545:A$2001,A545)=1,1,0))</f>
        <v/>
      </c>
      <c r="AM545" s="7" t="str">
        <f aca="true">IF(I545="","",TODAY()-I545)</f>
        <v/>
      </c>
      <c r="AN545" s="7" t="str">
        <f aca="false">IF(A545="","",IF(AND(E545&lt;&gt;"33 確認済",E545&lt;&gt;"36 送付中"),1,0))</f>
        <v/>
      </c>
      <c r="AO545" s="7" t="str">
        <f aca="false">IF(A545="","",IF(AG545&lt;&gt;"",1,0))</f>
        <v/>
      </c>
    </row>
    <row r="546" customFormat="false" ht="15" hidden="false" customHeight="false" outlineLevel="0" collapsed="false">
      <c r="AL546" s="7" t="str">
        <f aca="false">IF(A546="","",IF(COUNTIF(A546:A$2001,A546)=1,1,0))</f>
        <v/>
      </c>
      <c r="AM546" s="7" t="str">
        <f aca="true">IF(I546="","",TODAY()-I546)</f>
        <v/>
      </c>
      <c r="AN546" s="7" t="str">
        <f aca="false">IF(A546="","",IF(AND(E546&lt;&gt;"33 確認済",E546&lt;&gt;"36 送付中"),1,0))</f>
        <v/>
      </c>
      <c r="AO546" s="7" t="str">
        <f aca="false">IF(A546="","",IF(AG546&lt;&gt;"",1,0))</f>
        <v/>
      </c>
    </row>
    <row r="547" customFormat="false" ht="15" hidden="false" customHeight="false" outlineLevel="0" collapsed="false">
      <c r="AL547" s="7" t="str">
        <f aca="false">IF(A547="","",IF(COUNTIF(A547:A$2001,A547)=1,1,0))</f>
        <v/>
      </c>
      <c r="AM547" s="7" t="str">
        <f aca="true">IF(I547="","",TODAY()-I547)</f>
        <v/>
      </c>
      <c r="AN547" s="7" t="str">
        <f aca="false">IF(A547="","",IF(AND(E547&lt;&gt;"33 確認済",E547&lt;&gt;"36 送付中"),1,0))</f>
        <v/>
      </c>
      <c r="AO547" s="7" t="str">
        <f aca="false">IF(A547="","",IF(AG547&lt;&gt;"",1,0))</f>
        <v/>
      </c>
    </row>
    <row r="548" customFormat="false" ht="15" hidden="false" customHeight="false" outlineLevel="0" collapsed="false">
      <c r="AL548" s="7" t="str">
        <f aca="false">IF(A548="","",IF(COUNTIF(A548:A$2001,A548)=1,1,0))</f>
        <v/>
      </c>
      <c r="AM548" s="7" t="str">
        <f aca="true">IF(I548="","",TODAY()-I548)</f>
        <v/>
      </c>
      <c r="AN548" s="7" t="str">
        <f aca="false">IF(A548="","",IF(AND(E548&lt;&gt;"33 確認済",E548&lt;&gt;"36 送付中"),1,0))</f>
        <v/>
      </c>
      <c r="AO548" s="7" t="str">
        <f aca="false">IF(A548="","",IF(AG548&lt;&gt;"",1,0))</f>
        <v/>
      </c>
    </row>
    <row r="549" customFormat="false" ht="15" hidden="false" customHeight="false" outlineLevel="0" collapsed="false">
      <c r="AL549" s="7" t="str">
        <f aca="false">IF(A549="","",IF(COUNTIF(A549:A$2001,A549)=1,1,0))</f>
        <v/>
      </c>
      <c r="AM549" s="7" t="str">
        <f aca="true">IF(I549="","",TODAY()-I549)</f>
        <v/>
      </c>
      <c r="AN549" s="7" t="str">
        <f aca="false">IF(A549="","",IF(AND(E549&lt;&gt;"33 確認済",E549&lt;&gt;"36 送付中"),1,0))</f>
        <v/>
      </c>
      <c r="AO549" s="7" t="str">
        <f aca="false">IF(A549="","",IF(AG549&lt;&gt;"",1,0))</f>
        <v/>
      </c>
    </row>
    <row r="550" customFormat="false" ht="15" hidden="false" customHeight="false" outlineLevel="0" collapsed="false">
      <c r="AL550" s="7" t="str">
        <f aca="false">IF(A550="","",IF(COUNTIF(A550:A$2001,A550)=1,1,0))</f>
        <v/>
      </c>
      <c r="AM550" s="7" t="str">
        <f aca="true">IF(I550="","",TODAY()-I550)</f>
        <v/>
      </c>
      <c r="AN550" s="7" t="str">
        <f aca="false">IF(A550="","",IF(AND(E550&lt;&gt;"33 確認済",E550&lt;&gt;"36 送付中"),1,0))</f>
        <v/>
      </c>
      <c r="AO550" s="7" t="str">
        <f aca="false">IF(A550="","",IF(AG550&lt;&gt;"",1,0))</f>
        <v/>
      </c>
    </row>
    <row r="551" customFormat="false" ht="15" hidden="false" customHeight="false" outlineLevel="0" collapsed="false">
      <c r="AL551" s="7" t="str">
        <f aca="false">IF(A551="","",IF(COUNTIF(A551:A$2001,A551)=1,1,0))</f>
        <v/>
      </c>
      <c r="AM551" s="7" t="str">
        <f aca="true">IF(I551="","",TODAY()-I551)</f>
        <v/>
      </c>
      <c r="AN551" s="7" t="str">
        <f aca="false">IF(A551="","",IF(AND(E551&lt;&gt;"33 確認済",E551&lt;&gt;"36 送付中"),1,0))</f>
        <v/>
      </c>
      <c r="AO551" s="7" t="str">
        <f aca="false">IF(A551="","",IF(AG551&lt;&gt;"",1,0))</f>
        <v/>
      </c>
    </row>
    <row r="552" customFormat="false" ht="15" hidden="false" customHeight="false" outlineLevel="0" collapsed="false">
      <c r="AL552" s="7" t="str">
        <f aca="false">IF(A552="","",IF(COUNTIF(A552:A$2001,A552)=1,1,0))</f>
        <v/>
      </c>
      <c r="AM552" s="7" t="str">
        <f aca="true">IF(I552="","",TODAY()-I552)</f>
        <v/>
      </c>
      <c r="AN552" s="7" t="str">
        <f aca="false">IF(A552="","",IF(AND(E552&lt;&gt;"33 確認済",E552&lt;&gt;"36 送付中"),1,0))</f>
        <v/>
      </c>
      <c r="AO552" s="7" t="str">
        <f aca="false">IF(A552="","",IF(AG552&lt;&gt;"",1,0))</f>
        <v/>
      </c>
    </row>
    <row r="553" customFormat="false" ht="15" hidden="false" customHeight="false" outlineLevel="0" collapsed="false">
      <c r="AL553" s="7" t="str">
        <f aca="false">IF(A553="","",IF(COUNTIF(A553:A$2001,A553)=1,1,0))</f>
        <v/>
      </c>
      <c r="AM553" s="7" t="str">
        <f aca="true">IF(I553="","",TODAY()-I553)</f>
        <v/>
      </c>
      <c r="AN553" s="7" t="str">
        <f aca="false">IF(A553="","",IF(AND(E553&lt;&gt;"33 確認済",E553&lt;&gt;"36 送付中"),1,0))</f>
        <v/>
      </c>
      <c r="AO553" s="7" t="str">
        <f aca="false">IF(A553="","",IF(AG553&lt;&gt;"",1,0))</f>
        <v/>
      </c>
    </row>
    <row r="554" customFormat="false" ht="15" hidden="false" customHeight="false" outlineLevel="0" collapsed="false">
      <c r="AL554" s="7" t="str">
        <f aca="false">IF(A554="","",IF(COUNTIF(A554:A$2001,A554)=1,1,0))</f>
        <v/>
      </c>
      <c r="AM554" s="7" t="str">
        <f aca="true">IF(I554="","",TODAY()-I554)</f>
        <v/>
      </c>
      <c r="AN554" s="7" t="str">
        <f aca="false">IF(A554="","",IF(AND(E554&lt;&gt;"33 確認済",E554&lt;&gt;"36 送付中"),1,0))</f>
        <v/>
      </c>
      <c r="AO554" s="7" t="str">
        <f aca="false">IF(A554="","",IF(AG554&lt;&gt;"",1,0))</f>
        <v/>
      </c>
    </row>
    <row r="555" customFormat="false" ht="15" hidden="false" customHeight="false" outlineLevel="0" collapsed="false">
      <c r="AL555" s="7" t="str">
        <f aca="false">IF(A555="","",IF(COUNTIF(A555:A$2001,A555)=1,1,0))</f>
        <v/>
      </c>
      <c r="AM555" s="7" t="str">
        <f aca="true">IF(I555="","",TODAY()-I555)</f>
        <v/>
      </c>
      <c r="AN555" s="7" t="str">
        <f aca="false">IF(A555="","",IF(AND(E555&lt;&gt;"33 確認済",E555&lt;&gt;"36 送付中"),1,0))</f>
        <v/>
      </c>
      <c r="AO555" s="7" t="str">
        <f aca="false">IF(A555="","",IF(AG555&lt;&gt;"",1,0))</f>
        <v/>
      </c>
    </row>
    <row r="556" customFormat="false" ht="15" hidden="false" customHeight="false" outlineLevel="0" collapsed="false">
      <c r="AL556" s="7" t="str">
        <f aca="false">IF(A556="","",IF(COUNTIF(A556:A$2001,A556)=1,1,0))</f>
        <v/>
      </c>
      <c r="AM556" s="7" t="str">
        <f aca="true">IF(I556="","",TODAY()-I556)</f>
        <v/>
      </c>
      <c r="AN556" s="7" t="str">
        <f aca="false">IF(A556="","",IF(AND(E556&lt;&gt;"33 確認済",E556&lt;&gt;"36 送付中"),1,0))</f>
        <v/>
      </c>
      <c r="AO556" s="7" t="str">
        <f aca="false">IF(A556="","",IF(AG556&lt;&gt;"",1,0))</f>
        <v/>
      </c>
    </row>
    <row r="557" customFormat="false" ht="15" hidden="false" customHeight="false" outlineLevel="0" collapsed="false">
      <c r="AL557" s="7" t="str">
        <f aca="false">IF(A557="","",IF(COUNTIF(A557:A$2001,A557)=1,1,0))</f>
        <v/>
      </c>
      <c r="AM557" s="7" t="str">
        <f aca="true">IF(I557="","",TODAY()-I557)</f>
        <v/>
      </c>
      <c r="AN557" s="7" t="str">
        <f aca="false">IF(A557="","",IF(AND(E557&lt;&gt;"33 確認済",E557&lt;&gt;"36 送付中"),1,0))</f>
        <v/>
      </c>
      <c r="AO557" s="7" t="str">
        <f aca="false">IF(A557="","",IF(AG557&lt;&gt;"",1,0))</f>
        <v/>
      </c>
    </row>
    <row r="558" customFormat="false" ht="15" hidden="false" customHeight="false" outlineLevel="0" collapsed="false">
      <c r="AL558" s="7" t="str">
        <f aca="false">IF(A558="","",IF(COUNTIF(A558:A$2001,A558)=1,1,0))</f>
        <v/>
      </c>
      <c r="AM558" s="7" t="str">
        <f aca="true">IF(I558="","",TODAY()-I558)</f>
        <v/>
      </c>
      <c r="AN558" s="7" t="str">
        <f aca="false">IF(A558="","",IF(AND(E558&lt;&gt;"33 確認済",E558&lt;&gt;"36 送付中"),1,0))</f>
        <v/>
      </c>
      <c r="AO558" s="7" t="str">
        <f aca="false">IF(A558="","",IF(AG558&lt;&gt;"",1,0))</f>
        <v/>
      </c>
    </row>
    <row r="559" customFormat="false" ht="15" hidden="false" customHeight="false" outlineLevel="0" collapsed="false">
      <c r="AL559" s="7" t="str">
        <f aca="false">IF(A559="","",IF(COUNTIF(A559:A$2001,A559)=1,1,0))</f>
        <v/>
      </c>
      <c r="AM559" s="7" t="str">
        <f aca="true">IF(I559="","",TODAY()-I559)</f>
        <v/>
      </c>
      <c r="AN559" s="7" t="str">
        <f aca="false">IF(A559="","",IF(AND(E559&lt;&gt;"33 確認済",E559&lt;&gt;"36 送付中"),1,0))</f>
        <v/>
      </c>
      <c r="AO559" s="7" t="str">
        <f aca="false">IF(A559="","",IF(AG559&lt;&gt;"",1,0))</f>
        <v/>
      </c>
    </row>
    <row r="560" customFormat="false" ht="15" hidden="false" customHeight="false" outlineLevel="0" collapsed="false">
      <c r="AL560" s="7" t="str">
        <f aca="false">IF(A560="","",IF(COUNTIF(A560:A$2001,A560)=1,1,0))</f>
        <v/>
      </c>
      <c r="AM560" s="7" t="str">
        <f aca="true">IF(I560="","",TODAY()-I560)</f>
        <v/>
      </c>
      <c r="AN560" s="7" t="str">
        <f aca="false">IF(A560="","",IF(AND(E560&lt;&gt;"33 確認済",E560&lt;&gt;"36 送付中"),1,0))</f>
        <v/>
      </c>
      <c r="AO560" s="7" t="str">
        <f aca="false">IF(A560="","",IF(AG560&lt;&gt;"",1,0))</f>
        <v/>
      </c>
    </row>
    <row r="561" customFormat="false" ht="15" hidden="false" customHeight="false" outlineLevel="0" collapsed="false">
      <c r="AL561" s="7" t="str">
        <f aca="false">IF(A561="","",IF(COUNTIF(A561:A$2001,A561)=1,1,0))</f>
        <v/>
      </c>
      <c r="AM561" s="7" t="str">
        <f aca="true">IF(I561="","",TODAY()-I561)</f>
        <v/>
      </c>
      <c r="AN561" s="7" t="str">
        <f aca="false">IF(A561="","",IF(AND(E561&lt;&gt;"33 確認済",E561&lt;&gt;"36 送付中"),1,0))</f>
        <v/>
      </c>
      <c r="AO561" s="7" t="str">
        <f aca="false">IF(A561="","",IF(AG561&lt;&gt;"",1,0))</f>
        <v/>
      </c>
    </row>
    <row r="562" customFormat="false" ht="15" hidden="false" customHeight="false" outlineLevel="0" collapsed="false">
      <c r="AL562" s="7" t="str">
        <f aca="false">IF(A562="","",IF(COUNTIF(A562:A$2001,A562)=1,1,0))</f>
        <v/>
      </c>
      <c r="AM562" s="7" t="str">
        <f aca="true">IF(I562="","",TODAY()-I562)</f>
        <v/>
      </c>
      <c r="AN562" s="7" t="str">
        <f aca="false">IF(A562="","",IF(AND(E562&lt;&gt;"33 確認済",E562&lt;&gt;"36 送付中"),1,0))</f>
        <v/>
      </c>
      <c r="AO562" s="7" t="str">
        <f aca="false">IF(A562="","",IF(AG562&lt;&gt;"",1,0))</f>
        <v/>
      </c>
    </row>
    <row r="563" customFormat="false" ht="15" hidden="false" customHeight="false" outlineLevel="0" collapsed="false">
      <c r="AL563" s="7" t="str">
        <f aca="false">IF(A563="","",IF(COUNTIF(A563:A$2001,A563)=1,1,0))</f>
        <v/>
      </c>
      <c r="AM563" s="7" t="str">
        <f aca="true">IF(I563="","",TODAY()-I563)</f>
        <v/>
      </c>
      <c r="AN563" s="7" t="str">
        <f aca="false">IF(A563="","",IF(AND(E563&lt;&gt;"33 確認済",E563&lt;&gt;"36 送付中"),1,0))</f>
        <v/>
      </c>
      <c r="AO563" s="7" t="str">
        <f aca="false">IF(A563="","",IF(AG563&lt;&gt;"",1,0))</f>
        <v/>
      </c>
    </row>
    <row r="564" customFormat="false" ht="15" hidden="false" customHeight="false" outlineLevel="0" collapsed="false">
      <c r="AL564" s="7" t="str">
        <f aca="false">IF(A564="","",IF(COUNTIF(A564:A$2001,A564)=1,1,0))</f>
        <v/>
      </c>
      <c r="AM564" s="7" t="str">
        <f aca="true">IF(I564="","",TODAY()-I564)</f>
        <v/>
      </c>
      <c r="AN564" s="7" t="str">
        <f aca="false">IF(A564="","",IF(AND(E564&lt;&gt;"33 確認済",E564&lt;&gt;"36 送付中"),1,0))</f>
        <v/>
      </c>
      <c r="AO564" s="7" t="str">
        <f aca="false">IF(A564="","",IF(AG564&lt;&gt;"",1,0))</f>
        <v/>
      </c>
    </row>
    <row r="565" customFormat="false" ht="15" hidden="false" customHeight="false" outlineLevel="0" collapsed="false">
      <c r="AL565" s="7" t="str">
        <f aca="false">IF(A565="","",IF(COUNTIF(A565:A$2001,A565)=1,1,0))</f>
        <v/>
      </c>
      <c r="AM565" s="7" t="str">
        <f aca="true">IF(I565="","",TODAY()-I565)</f>
        <v/>
      </c>
      <c r="AN565" s="7" t="str">
        <f aca="false">IF(A565="","",IF(AND(E565&lt;&gt;"33 確認済",E565&lt;&gt;"36 送付中"),1,0))</f>
        <v/>
      </c>
      <c r="AO565" s="7" t="str">
        <f aca="false">IF(A565="","",IF(AG565&lt;&gt;"",1,0))</f>
        <v/>
      </c>
    </row>
    <row r="566" customFormat="false" ht="15" hidden="false" customHeight="false" outlineLevel="0" collapsed="false">
      <c r="AL566" s="7" t="str">
        <f aca="false">IF(A566="","",IF(COUNTIF(A566:A$2001,A566)=1,1,0))</f>
        <v/>
      </c>
      <c r="AM566" s="7" t="str">
        <f aca="true">IF(I566="","",TODAY()-I566)</f>
        <v/>
      </c>
      <c r="AN566" s="7" t="str">
        <f aca="false">IF(A566="","",IF(AND(E566&lt;&gt;"33 確認済",E566&lt;&gt;"36 送付中"),1,0))</f>
        <v/>
      </c>
      <c r="AO566" s="7" t="str">
        <f aca="false">IF(A566="","",IF(AG566&lt;&gt;"",1,0))</f>
        <v/>
      </c>
    </row>
    <row r="567" customFormat="false" ht="15" hidden="false" customHeight="false" outlineLevel="0" collapsed="false">
      <c r="AL567" s="7" t="str">
        <f aca="false">IF(A567="","",IF(COUNTIF(A567:A$2001,A567)=1,1,0))</f>
        <v/>
      </c>
      <c r="AM567" s="7" t="str">
        <f aca="true">IF(I567="","",TODAY()-I567)</f>
        <v/>
      </c>
      <c r="AN567" s="7" t="str">
        <f aca="false">IF(A567="","",IF(AND(E567&lt;&gt;"33 確認済",E567&lt;&gt;"36 送付中"),1,0))</f>
        <v/>
      </c>
      <c r="AO567" s="7" t="str">
        <f aca="false">IF(A567="","",IF(AG567&lt;&gt;"",1,0))</f>
        <v/>
      </c>
    </row>
    <row r="568" customFormat="false" ht="15" hidden="false" customHeight="false" outlineLevel="0" collapsed="false">
      <c r="AL568" s="7" t="str">
        <f aca="false">IF(A568="","",IF(COUNTIF(A568:A$2001,A568)=1,1,0))</f>
        <v/>
      </c>
      <c r="AM568" s="7" t="str">
        <f aca="true">IF(I568="","",TODAY()-I568)</f>
        <v/>
      </c>
      <c r="AN568" s="7" t="str">
        <f aca="false">IF(A568="","",IF(AND(E568&lt;&gt;"33 確認済",E568&lt;&gt;"36 送付中"),1,0))</f>
        <v/>
      </c>
      <c r="AO568" s="7" t="str">
        <f aca="false">IF(A568="","",IF(AG568&lt;&gt;"",1,0))</f>
        <v/>
      </c>
    </row>
    <row r="569" customFormat="false" ht="15" hidden="false" customHeight="false" outlineLevel="0" collapsed="false">
      <c r="AL569" s="7" t="str">
        <f aca="false">IF(A569="","",IF(COUNTIF(A569:A$2001,A569)=1,1,0))</f>
        <v/>
      </c>
      <c r="AM569" s="7" t="str">
        <f aca="true">IF(I569="","",TODAY()-I569)</f>
        <v/>
      </c>
      <c r="AN569" s="7" t="str">
        <f aca="false">IF(A569="","",IF(AND(E569&lt;&gt;"33 確認済",E569&lt;&gt;"36 送付中"),1,0))</f>
        <v/>
      </c>
      <c r="AO569" s="7" t="str">
        <f aca="false">IF(A569="","",IF(AG569&lt;&gt;"",1,0))</f>
        <v/>
      </c>
    </row>
    <row r="570" customFormat="false" ht="15" hidden="false" customHeight="false" outlineLevel="0" collapsed="false">
      <c r="AL570" s="7" t="str">
        <f aca="false">IF(A570="","",IF(COUNTIF(A570:A$2001,A570)=1,1,0))</f>
        <v/>
      </c>
      <c r="AM570" s="7" t="str">
        <f aca="true">IF(I570="","",TODAY()-I570)</f>
        <v/>
      </c>
      <c r="AN570" s="7" t="str">
        <f aca="false">IF(A570="","",IF(AND(E570&lt;&gt;"33 確認済",E570&lt;&gt;"36 送付中"),1,0))</f>
        <v/>
      </c>
      <c r="AO570" s="7" t="str">
        <f aca="false">IF(A570="","",IF(AG570&lt;&gt;"",1,0))</f>
        <v/>
      </c>
    </row>
    <row r="571" customFormat="false" ht="15" hidden="false" customHeight="false" outlineLevel="0" collapsed="false">
      <c r="AL571" s="7" t="str">
        <f aca="false">IF(A571="","",IF(COUNTIF(A571:A$2001,A571)=1,1,0))</f>
        <v/>
      </c>
      <c r="AM571" s="7" t="str">
        <f aca="true">IF(I571="","",TODAY()-I571)</f>
        <v/>
      </c>
      <c r="AN571" s="7" t="str">
        <f aca="false">IF(A571="","",IF(AND(E571&lt;&gt;"33 確認済",E571&lt;&gt;"36 送付中"),1,0))</f>
        <v/>
      </c>
      <c r="AO571" s="7" t="str">
        <f aca="false">IF(A571="","",IF(AG571&lt;&gt;"",1,0))</f>
        <v/>
      </c>
    </row>
    <row r="572" customFormat="false" ht="15" hidden="false" customHeight="false" outlineLevel="0" collapsed="false">
      <c r="AL572" s="7" t="str">
        <f aca="false">IF(A572="","",IF(COUNTIF(A572:A$2001,A572)=1,1,0))</f>
        <v/>
      </c>
      <c r="AM572" s="7" t="str">
        <f aca="true">IF(I572="","",TODAY()-I572)</f>
        <v/>
      </c>
      <c r="AN572" s="7" t="str">
        <f aca="false">IF(A572="","",IF(AND(E572&lt;&gt;"33 確認済",E572&lt;&gt;"36 送付中"),1,0))</f>
        <v/>
      </c>
      <c r="AO572" s="7" t="str">
        <f aca="false">IF(A572="","",IF(AG572&lt;&gt;"",1,0))</f>
        <v/>
      </c>
    </row>
    <row r="573" customFormat="false" ht="15" hidden="false" customHeight="false" outlineLevel="0" collapsed="false">
      <c r="AL573" s="7" t="str">
        <f aca="false">IF(A573="","",IF(COUNTIF(A573:A$2001,A573)=1,1,0))</f>
        <v/>
      </c>
      <c r="AM573" s="7" t="str">
        <f aca="true">IF(I573="","",TODAY()-I573)</f>
        <v/>
      </c>
      <c r="AN573" s="7" t="str">
        <f aca="false">IF(A573="","",IF(AND(E573&lt;&gt;"33 確認済",E573&lt;&gt;"36 送付中"),1,0))</f>
        <v/>
      </c>
      <c r="AO573" s="7" t="str">
        <f aca="false">IF(A573="","",IF(AG573&lt;&gt;"",1,0))</f>
        <v/>
      </c>
    </row>
    <row r="574" customFormat="false" ht="15" hidden="false" customHeight="false" outlineLevel="0" collapsed="false">
      <c r="AL574" s="7" t="str">
        <f aca="false">IF(A574="","",IF(COUNTIF(A574:A$2001,A574)=1,1,0))</f>
        <v/>
      </c>
      <c r="AM574" s="7" t="str">
        <f aca="true">IF(I574="","",TODAY()-I574)</f>
        <v/>
      </c>
      <c r="AN574" s="7" t="str">
        <f aca="false">IF(A574="","",IF(AND(E574&lt;&gt;"33 確認済",E574&lt;&gt;"36 送付中"),1,0))</f>
        <v/>
      </c>
      <c r="AO574" s="7" t="str">
        <f aca="false">IF(A574="","",IF(AG574&lt;&gt;"",1,0))</f>
        <v/>
      </c>
    </row>
    <row r="575" customFormat="false" ht="15" hidden="false" customHeight="false" outlineLevel="0" collapsed="false">
      <c r="AL575" s="7" t="str">
        <f aca="false">IF(A575="","",IF(COUNTIF(A575:A$2001,A575)=1,1,0))</f>
        <v/>
      </c>
      <c r="AM575" s="7" t="str">
        <f aca="true">IF(I575="","",TODAY()-I575)</f>
        <v/>
      </c>
      <c r="AN575" s="7" t="str">
        <f aca="false">IF(A575="","",IF(AND(E575&lt;&gt;"33 確認済",E575&lt;&gt;"36 送付中"),1,0))</f>
        <v/>
      </c>
      <c r="AO575" s="7" t="str">
        <f aca="false">IF(A575="","",IF(AG575&lt;&gt;"",1,0))</f>
        <v/>
      </c>
    </row>
    <row r="576" customFormat="false" ht="15" hidden="false" customHeight="false" outlineLevel="0" collapsed="false">
      <c r="AL576" s="7" t="str">
        <f aca="false">IF(A576="","",IF(COUNTIF(A576:A$2001,A576)=1,1,0))</f>
        <v/>
      </c>
      <c r="AM576" s="7" t="str">
        <f aca="true">IF(I576="","",TODAY()-I576)</f>
        <v/>
      </c>
      <c r="AN576" s="7" t="str">
        <f aca="false">IF(A576="","",IF(AND(E576&lt;&gt;"33 確認済",E576&lt;&gt;"36 送付中"),1,0))</f>
        <v/>
      </c>
      <c r="AO576" s="7" t="str">
        <f aca="false">IF(A576="","",IF(AG576&lt;&gt;"",1,0))</f>
        <v/>
      </c>
    </row>
    <row r="577" customFormat="false" ht="15" hidden="false" customHeight="false" outlineLevel="0" collapsed="false">
      <c r="AL577" s="7" t="str">
        <f aca="false">IF(A577="","",IF(COUNTIF(A577:A$2001,A577)=1,1,0))</f>
        <v/>
      </c>
      <c r="AM577" s="7" t="str">
        <f aca="true">IF(I577="","",TODAY()-I577)</f>
        <v/>
      </c>
      <c r="AN577" s="7" t="str">
        <f aca="false">IF(A577="","",IF(AND(E577&lt;&gt;"33 確認済",E577&lt;&gt;"36 送付中"),1,0))</f>
        <v/>
      </c>
      <c r="AO577" s="7" t="str">
        <f aca="false">IF(A577="","",IF(AG577&lt;&gt;"",1,0))</f>
        <v/>
      </c>
    </row>
    <row r="578" customFormat="false" ht="15" hidden="false" customHeight="false" outlineLevel="0" collapsed="false">
      <c r="AL578" s="7" t="str">
        <f aca="false">IF(A578="","",IF(COUNTIF(A578:A$2001,A578)=1,1,0))</f>
        <v/>
      </c>
      <c r="AM578" s="7" t="str">
        <f aca="true">IF(I578="","",TODAY()-I578)</f>
        <v/>
      </c>
      <c r="AN578" s="7" t="str">
        <f aca="false">IF(A578="","",IF(AND(E578&lt;&gt;"33 確認済",E578&lt;&gt;"36 送付中"),1,0))</f>
        <v/>
      </c>
      <c r="AO578" s="7" t="str">
        <f aca="false">IF(A578="","",IF(AG578&lt;&gt;"",1,0))</f>
        <v/>
      </c>
    </row>
    <row r="579" customFormat="false" ht="15" hidden="false" customHeight="false" outlineLevel="0" collapsed="false">
      <c r="AL579" s="7" t="str">
        <f aca="false">IF(A579="","",IF(COUNTIF(A579:A$2001,A579)=1,1,0))</f>
        <v/>
      </c>
      <c r="AM579" s="7" t="str">
        <f aca="true">IF(I579="","",TODAY()-I579)</f>
        <v/>
      </c>
      <c r="AN579" s="7" t="str">
        <f aca="false">IF(A579="","",IF(AND(E579&lt;&gt;"33 確認済",E579&lt;&gt;"36 送付中"),1,0))</f>
        <v/>
      </c>
      <c r="AO579" s="7" t="str">
        <f aca="false">IF(A579="","",IF(AG579&lt;&gt;"",1,0))</f>
        <v/>
      </c>
    </row>
    <row r="580" customFormat="false" ht="15" hidden="false" customHeight="false" outlineLevel="0" collapsed="false">
      <c r="AL580" s="7" t="str">
        <f aca="false">IF(A580="","",IF(COUNTIF(A580:A$2001,A580)=1,1,0))</f>
        <v/>
      </c>
      <c r="AM580" s="7" t="str">
        <f aca="true">IF(I580="","",TODAY()-I580)</f>
        <v/>
      </c>
      <c r="AN580" s="7" t="str">
        <f aca="false">IF(A580="","",IF(AND(E580&lt;&gt;"33 確認済",E580&lt;&gt;"36 送付中"),1,0))</f>
        <v/>
      </c>
      <c r="AO580" s="7" t="str">
        <f aca="false">IF(A580="","",IF(AG580&lt;&gt;"",1,0))</f>
        <v/>
      </c>
    </row>
    <row r="581" customFormat="false" ht="15" hidden="false" customHeight="false" outlineLevel="0" collapsed="false">
      <c r="AL581" s="7" t="str">
        <f aca="false">IF(A581="","",IF(COUNTIF(A581:A$2001,A581)=1,1,0))</f>
        <v/>
      </c>
      <c r="AM581" s="7" t="str">
        <f aca="true">IF(I581="","",TODAY()-I581)</f>
        <v/>
      </c>
      <c r="AN581" s="7" t="str">
        <f aca="false">IF(A581="","",IF(AND(E581&lt;&gt;"33 確認済",E581&lt;&gt;"36 送付中"),1,0))</f>
        <v/>
      </c>
      <c r="AO581" s="7" t="str">
        <f aca="false">IF(A581="","",IF(AG581&lt;&gt;"",1,0))</f>
        <v/>
      </c>
    </row>
    <row r="582" customFormat="false" ht="15" hidden="false" customHeight="false" outlineLevel="0" collapsed="false">
      <c r="AL582" s="7" t="str">
        <f aca="false">IF(A582="","",IF(COUNTIF(A582:A$2001,A582)=1,1,0))</f>
        <v/>
      </c>
      <c r="AM582" s="7" t="str">
        <f aca="true">IF(I582="","",TODAY()-I582)</f>
        <v/>
      </c>
      <c r="AN582" s="7" t="str">
        <f aca="false">IF(A582="","",IF(AND(E582&lt;&gt;"33 確認済",E582&lt;&gt;"36 送付中"),1,0))</f>
        <v/>
      </c>
      <c r="AO582" s="7" t="str">
        <f aca="false">IF(A582="","",IF(AG582&lt;&gt;"",1,0))</f>
        <v/>
      </c>
    </row>
    <row r="583" customFormat="false" ht="15" hidden="false" customHeight="false" outlineLevel="0" collapsed="false">
      <c r="AL583" s="7" t="str">
        <f aca="false">IF(A583="","",IF(COUNTIF(A583:A$2001,A583)=1,1,0))</f>
        <v/>
      </c>
      <c r="AM583" s="7" t="str">
        <f aca="true">IF(I583="","",TODAY()-I583)</f>
        <v/>
      </c>
      <c r="AN583" s="7" t="str">
        <f aca="false">IF(A583="","",IF(AND(E583&lt;&gt;"33 確認済",E583&lt;&gt;"36 送付中"),1,0))</f>
        <v/>
      </c>
      <c r="AO583" s="7" t="str">
        <f aca="false">IF(A583="","",IF(AG583&lt;&gt;"",1,0))</f>
        <v/>
      </c>
    </row>
    <row r="584" customFormat="false" ht="15" hidden="false" customHeight="false" outlineLevel="0" collapsed="false">
      <c r="AL584" s="7" t="str">
        <f aca="false">IF(A584="","",IF(COUNTIF(A584:A$2001,A584)=1,1,0))</f>
        <v/>
      </c>
      <c r="AM584" s="7" t="str">
        <f aca="true">IF(I584="","",TODAY()-I584)</f>
        <v/>
      </c>
      <c r="AN584" s="7" t="str">
        <f aca="false">IF(A584="","",IF(AND(E584&lt;&gt;"33 確認済",E584&lt;&gt;"36 送付中"),1,0))</f>
        <v/>
      </c>
      <c r="AO584" s="7" t="str">
        <f aca="false">IF(A584="","",IF(AG584&lt;&gt;"",1,0))</f>
        <v/>
      </c>
    </row>
    <row r="585" customFormat="false" ht="15" hidden="false" customHeight="false" outlineLevel="0" collapsed="false">
      <c r="AL585" s="7" t="str">
        <f aca="false">IF(A585="","",IF(COUNTIF(A585:A$2001,A585)=1,1,0))</f>
        <v/>
      </c>
      <c r="AM585" s="7" t="str">
        <f aca="true">IF(I585="","",TODAY()-I585)</f>
        <v/>
      </c>
      <c r="AN585" s="7" t="str">
        <f aca="false">IF(A585="","",IF(AND(E585&lt;&gt;"33 確認済",E585&lt;&gt;"36 送付中"),1,0))</f>
        <v/>
      </c>
      <c r="AO585" s="7" t="str">
        <f aca="false">IF(A585="","",IF(AG585&lt;&gt;"",1,0))</f>
        <v/>
      </c>
    </row>
    <row r="586" customFormat="false" ht="15" hidden="false" customHeight="false" outlineLevel="0" collapsed="false">
      <c r="AL586" s="7" t="str">
        <f aca="false">IF(A586="","",IF(COUNTIF(A586:A$2001,A586)=1,1,0))</f>
        <v/>
      </c>
      <c r="AM586" s="7" t="str">
        <f aca="true">IF(I586="","",TODAY()-I586)</f>
        <v/>
      </c>
      <c r="AN586" s="7" t="str">
        <f aca="false">IF(A586="","",IF(AND(E586&lt;&gt;"33 確認済",E586&lt;&gt;"36 送付中"),1,0))</f>
        <v/>
      </c>
      <c r="AO586" s="7" t="str">
        <f aca="false">IF(A586="","",IF(AG586&lt;&gt;"",1,0))</f>
        <v/>
      </c>
    </row>
    <row r="587" customFormat="false" ht="15" hidden="false" customHeight="false" outlineLevel="0" collapsed="false">
      <c r="AL587" s="7" t="str">
        <f aca="false">IF(A587="","",IF(COUNTIF(A587:A$2001,A587)=1,1,0))</f>
        <v/>
      </c>
      <c r="AM587" s="7" t="str">
        <f aca="true">IF(I587="","",TODAY()-I587)</f>
        <v/>
      </c>
      <c r="AN587" s="7" t="str">
        <f aca="false">IF(A587="","",IF(AND(E587&lt;&gt;"33 確認済",E587&lt;&gt;"36 送付中"),1,0))</f>
        <v/>
      </c>
      <c r="AO587" s="7" t="str">
        <f aca="false">IF(A587="","",IF(AG587&lt;&gt;"",1,0))</f>
        <v/>
      </c>
    </row>
    <row r="588" customFormat="false" ht="15" hidden="false" customHeight="false" outlineLevel="0" collapsed="false">
      <c r="AL588" s="7" t="str">
        <f aca="false">IF(A588="","",IF(COUNTIF(A588:A$2001,A588)=1,1,0))</f>
        <v/>
      </c>
      <c r="AM588" s="7" t="str">
        <f aca="true">IF(I588="","",TODAY()-I588)</f>
        <v/>
      </c>
      <c r="AN588" s="7" t="str">
        <f aca="false">IF(A588="","",IF(AND(E588&lt;&gt;"33 確認済",E588&lt;&gt;"36 送付中"),1,0))</f>
        <v/>
      </c>
      <c r="AO588" s="7" t="str">
        <f aca="false">IF(A588="","",IF(AG588&lt;&gt;"",1,0))</f>
        <v/>
      </c>
    </row>
    <row r="589" customFormat="false" ht="15" hidden="false" customHeight="false" outlineLevel="0" collapsed="false">
      <c r="AL589" s="7" t="str">
        <f aca="false">IF(A589="","",IF(COUNTIF(A589:A$2001,A589)=1,1,0))</f>
        <v/>
      </c>
      <c r="AM589" s="7" t="str">
        <f aca="true">IF(I589="","",TODAY()-I589)</f>
        <v/>
      </c>
      <c r="AN589" s="7" t="str">
        <f aca="false">IF(A589="","",IF(AND(E589&lt;&gt;"33 確認済",E589&lt;&gt;"36 送付中"),1,0))</f>
        <v/>
      </c>
      <c r="AO589" s="7" t="str">
        <f aca="false">IF(A589="","",IF(AG589&lt;&gt;"",1,0))</f>
        <v/>
      </c>
    </row>
    <row r="590" customFormat="false" ht="15" hidden="false" customHeight="false" outlineLevel="0" collapsed="false">
      <c r="AL590" s="7" t="str">
        <f aca="false">IF(A590="","",IF(COUNTIF(A590:A$2001,A590)=1,1,0))</f>
        <v/>
      </c>
      <c r="AM590" s="7" t="str">
        <f aca="true">IF(I590="","",TODAY()-I590)</f>
        <v/>
      </c>
      <c r="AN590" s="7" t="str">
        <f aca="false">IF(A590="","",IF(AND(E590&lt;&gt;"33 確認済",E590&lt;&gt;"36 送付中"),1,0))</f>
        <v/>
      </c>
      <c r="AO590" s="7" t="str">
        <f aca="false">IF(A590="","",IF(AG590&lt;&gt;"",1,0))</f>
        <v/>
      </c>
    </row>
    <row r="591" customFormat="false" ht="15" hidden="false" customHeight="false" outlineLevel="0" collapsed="false">
      <c r="AL591" s="7" t="str">
        <f aca="false">IF(A591="","",IF(COUNTIF(A591:A$2001,A591)=1,1,0))</f>
        <v/>
      </c>
      <c r="AM591" s="7" t="str">
        <f aca="true">IF(I591="","",TODAY()-I591)</f>
        <v/>
      </c>
      <c r="AN591" s="7" t="str">
        <f aca="false">IF(A591="","",IF(AND(E591&lt;&gt;"33 確認済",E591&lt;&gt;"36 送付中"),1,0))</f>
        <v/>
      </c>
      <c r="AO591" s="7" t="str">
        <f aca="false">IF(A591="","",IF(AG591&lt;&gt;"",1,0))</f>
        <v/>
      </c>
    </row>
    <row r="592" customFormat="false" ht="15" hidden="false" customHeight="false" outlineLevel="0" collapsed="false">
      <c r="AL592" s="7" t="str">
        <f aca="false">IF(A592="","",IF(COUNTIF(A592:A$2001,A592)=1,1,0))</f>
        <v/>
      </c>
      <c r="AM592" s="7" t="str">
        <f aca="true">IF(I592="","",TODAY()-I592)</f>
        <v/>
      </c>
      <c r="AN592" s="7" t="str">
        <f aca="false">IF(A592="","",IF(AND(E592&lt;&gt;"33 確認済",E592&lt;&gt;"36 送付中"),1,0))</f>
        <v/>
      </c>
      <c r="AO592" s="7" t="str">
        <f aca="false">IF(A592="","",IF(AG592&lt;&gt;"",1,0))</f>
        <v/>
      </c>
    </row>
    <row r="593" customFormat="false" ht="15" hidden="false" customHeight="false" outlineLevel="0" collapsed="false">
      <c r="AL593" s="7" t="str">
        <f aca="false">IF(A593="","",IF(COUNTIF(A593:A$2001,A593)=1,1,0))</f>
        <v/>
      </c>
      <c r="AM593" s="7" t="str">
        <f aca="true">IF(I593="","",TODAY()-I593)</f>
        <v/>
      </c>
      <c r="AN593" s="7" t="str">
        <f aca="false">IF(A593="","",IF(AND(E593&lt;&gt;"33 確認済",E593&lt;&gt;"36 送付中"),1,0))</f>
        <v/>
      </c>
      <c r="AO593" s="7" t="str">
        <f aca="false">IF(A593="","",IF(AG593&lt;&gt;"",1,0))</f>
        <v/>
      </c>
    </row>
    <row r="594" customFormat="false" ht="15" hidden="false" customHeight="false" outlineLevel="0" collapsed="false">
      <c r="AL594" s="7" t="str">
        <f aca="false">IF(A594="","",IF(COUNTIF(A594:A$2001,A594)=1,1,0))</f>
        <v/>
      </c>
      <c r="AM594" s="7" t="str">
        <f aca="true">IF(I594="","",TODAY()-I594)</f>
        <v/>
      </c>
      <c r="AN594" s="7" t="str">
        <f aca="false">IF(A594="","",IF(AND(E594&lt;&gt;"33 確認済",E594&lt;&gt;"36 送付中"),1,0))</f>
        <v/>
      </c>
      <c r="AO594" s="7" t="str">
        <f aca="false">IF(A594="","",IF(AG594&lt;&gt;"",1,0))</f>
        <v/>
      </c>
    </row>
    <row r="595" customFormat="false" ht="15" hidden="false" customHeight="false" outlineLevel="0" collapsed="false">
      <c r="AL595" s="7" t="str">
        <f aca="false">IF(A595="","",IF(COUNTIF(A595:A$2001,A595)=1,1,0))</f>
        <v/>
      </c>
      <c r="AM595" s="7" t="str">
        <f aca="true">IF(I595="","",TODAY()-I595)</f>
        <v/>
      </c>
      <c r="AN595" s="7" t="str">
        <f aca="false">IF(A595="","",IF(AND(E595&lt;&gt;"33 確認済",E595&lt;&gt;"36 送付中"),1,0))</f>
        <v/>
      </c>
      <c r="AO595" s="7" t="str">
        <f aca="false">IF(A595="","",IF(AG595&lt;&gt;"",1,0))</f>
        <v/>
      </c>
    </row>
    <row r="596" customFormat="false" ht="15" hidden="false" customHeight="false" outlineLevel="0" collapsed="false">
      <c r="AL596" s="7" t="str">
        <f aca="false">IF(A596="","",IF(COUNTIF(A596:A$2001,A596)=1,1,0))</f>
        <v/>
      </c>
      <c r="AM596" s="7" t="str">
        <f aca="true">IF(I596="","",TODAY()-I596)</f>
        <v/>
      </c>
      <c r="AN596" s="7" t="str">
        <f aca="false">IF(A596="","",IF(AND(E596&lt;&gt;"33 確認済",E596&lt;&gt;"36 送付中"),1,0))</f>
        <v/>
      </c>
      <c r="AO596" s="7" t="str">
        <f aca="false">IF(A596="","",IF(AG596&lt;&gt;"",1,0))</f>
        <v/>
      </c>
    </row>
    <row r="597" customFormat="false" ht="15" hidden="false" customHeight="false" outlineLevel="0" collapsed="false">
      <c r="AL597" s="7" t="str">
        <f aca="false">IF(A597="","",IF(COUNTIF(A597:A$2001,A597)=1,1,0))</f>
        <v/>
      </c>
      <c r="AM597" s="7" t="str">
        <f aca="true">IF(I597="","",TODAY()-I597)</f>
        <v/>
      </c>
      <c r="AN597" s="7" t="str">
        <f aca="false">IF(A597="","",IF(AND(E597&lt;&gt;"33 確認済",E597&lt;&gt;"36 送付中"),1,0))</f>
        <v/>
      </c>
      <c r="AO597" s="7" t="str">
        <f aca="false">IF(A597="","",IF(AG597&lt;&gt;"",1,0))</f>
        <v/>
      </c>
    </row>
    <row r="598" customFormat="false" ht="15" hidden="false" customHeight="false" outlineLevel="0" collapsed="false">
      <c r="AL598" s="7" t="str">
        <f aca="false">IF(A598="","",IF(COUNTIF(A598:A$2001,A598)=1,1,0))</f>
        <v/>
      </c>
      <c r="AM598" s="7" t="str">
        <f aca="true">IF(I598="","",TODAY()-I598)</f>
        <v/>
      </c>
      <c r="AN598" s="7" t="str">
        <f aca="false">IF(A598="","",IF(AND(E598&lt;&gt;"33 確認済",E598&lt;&gt;"36 送付中"),1,0))</f>
        <v/>
      </c>
      <c r="AO598" s="7" t="str">
        <f aca="false">IF(A598="","",IF(AG598&lt;&gt;"",1,0))</f>
        <v/>
      </c>
    </row>
    <row r="599" customFormat="false" ht="15" hidden="false" customHeight="false" outlineLevel="0" collapsed="false">
      <c r="AL599" s="7" t="str">
        <f aca="false">IF(A599="","",IF(COUNTIF(A599:A$2001,A599)=1,1,0))</f>
        <v/>
      </c>
      <c r="AM599" s="7" t="str">
        <f aca="true">IF(I599="","",TODAY()-I599)</f>
        <v/>
      </c>
      <c r="AN599" s="7" t="str">
        <f aca="false">IF(A599="","",IF(AND(E599&lt;&gt;"33 確認済",E599&lt;&gt;"36 送付中"),1,0))</f>
        <v/>
      </c>
      <c r="AO599" s="7" t="str">
        <f aca="false">IF(A599="","",IF(AG599&lt;&gt;"",1,0))</f>
        <v/>
      </c>
    </row>
    <row r="600" customFormat="false" ht="15" hidden="false" customHeight="false" outlineLevel="0" collapsed="false">
      <c r="AL600" s="7" t="str">
        <f aca="false">IF(A600="","",IF(COUNTIF(A600:A$2001,A600)=1,1,0))</f>
        <v/>
      </c>
      <c r="AM600" s="7" t="str">
        <f aca="true">IF(I600="","",TODAY()-I600)</f>
        <v/>
      </c>
      <c r="AN600" s="7" t="str">
        <f aca="false">IF(A600="","",IF(AND(E600&lt;&gt;"33 確認済",E600&lt;&gt;"36 送付中"),1,0))</f>
        <v/>
      </c>
      <c r="AO600" s="7" t="str">
        <f aca="false">IF(A600="","",IF(AG600&lt;&gt;"",1,0))</f>
        <v/>
      </c>
    </row>
    <row r="601" customFormat="false" ht="15" hidden="false" customHeight="false" outlineLevel="0" collapsed="false">
      <c r="AL601" s="7" t="str">
        <f aca="false">IF(A601="","",IF(COUNTIF(A601:A$2001,A601)=1,1,0))</f>
        <v/>
      </c>
      <c r="AM601" s="7" t="str">
        <f aca="true">IF(I601="","",TODAY()-I601)</f>
        <v/>
      </c>
      <c r="AN601" s="7" t="str">
        <f aca="false">IF(A601="","",IF(AND(E601&lt;&gt;"33 確認済",E601&lt;&gt;"36 送付中"),1,0))</f>
        <v/>
      </c>
      <c r="AO601" s="7" t="str">
        <f aca="false">IF(A601="","",IF(AG601&lt;&gt;"",1,0))</f>
        <v/>
      </c>
    </row>
    <row r="602" customFormat="false" ht="15" hidden="false" customHeight="false" outlineLevel="0" collapsed="false">
      <c r="AL602" s="7" t="str">
        <f aca="false">IF(A602="","",IF(COUNTIF(A602:A$2001,A602)=1,1,0))</f>
        <v/>
      </c>
      <c r="AM602" s="7" t="str">
        <f aca="true">IF(I602="","",TODAY()-I602)</f>
        <v/>
      </c>
      <c r="AN602" s="7" t="str">
        <f aca="false">IF(A602="","",IF(AND(E602&lt;&gt;"33 確認済",E602&lt;&gt;"36 送付中"),1,0))</f>
        <v/>
      </c>
      <c r="AO602" s="7" t="str">
        <f aca="false">IF(A602="","",IF(AG602&lt;&gt;"",1,0))</f>
        <v/>
      </c>
    </row>
    <row r="603" customFormat="false" ht="15" hidden="false" customHeight="false" outlineLevel="0" collapsed="false">
      <c r="AL603" s="7" t="str">
        <f aca="false">IF(A603="","",IF(COUNTIF(A603:A$2001,A603)=1,1,0))</f>
        <v/>
      </c>
      <c r="AM603" s="7" t="str">
        <f aca="true">IF(I603="","",TODAY()-I603)</f>
        <v/>
      </c>
      <c r="AN603" s="7" t="str">
        <f aca="false">IF(A603="","",IF(AND(E603&lt;&gt;"33 確認済",E603&lt;&gt;"36 送付中"),1,0))</f>
        <v/>
      </c>
      <c r="AO603" s="7" t="str">
        <f aca="false">IF(A603="","",IF(AG603&lt;&gt;"",1,0))</f>
        <v/>
      </c>
    </row>
    <row r="604" customFormat="false" ht="15" hidden="false" customHeight="false" outlineLevel="0" collapsed="false">
      <c r="AL604" s="7" t="str">
        <f aca="false">IF(A604="","",IF(COUNTIF(A604:A$2001,A604)=1,1,0))</f>
        <v/>
      </c>
      <c r="AM604" s="7" t="str">
        <f aca="true">IF(I604="","",TODAY()-I604)</f>
        <v/>
      </c>
      <c r="AN604" s="7" t="str">
        <f aca="false">IF(A604="","",IF(AND(E604&lt;&gt;"33 確認済",E604&lt;&gt;"36 送付中"),1,0))</f>
        <v/>
      </c>
      <c r="AO604" s="7" t="str">
        <f aca="false">IF(A604="","",IF(AG604&lt;&gt;"",1,0))</f>
        <v/>
      </c>
    </row>
    <row r="605" customFormat="false" ht="15" hidden="false" customHeight="false" outlineLevel="0" collapsed="false">
      <c r="AL605" s="7" t="str">
        <f aca="false">IF(A605="","",IF(COUNTIF(A605:A$2001,A605)=1,1,0))</f>
        <v/>
      </c>
      <c r="AM605" s="7" t="str">
        <f aca="true">IF(I605="","",TODAY()-I605)</f>
        <v/>
      </c>
      <c r="AN605" s="7" t="str">
        <f aca="false">IF(A605="","",IF(AND(E605&lt;&gt;"33 確認済",E605&lt;&gt;"36 送付中"),1,0))</f>
        <v/>
      </c>
      <c r="AO605" s="7" t="str">
        <f aca="false">IF(A605="","",IF(AG605&lt;&gt;"",1,0))</f>
        <v/>
      </c>
    </row>
    <row r="606" customFormat="false" ht="15" hidden="false" customHeight="false" outlineLevel="0" collapsed="false">
      <c r="AL606" s="7" t="str">
        <f aca="false">IF(A606="","",IF(COUNTIF(A606:A$2001,A606)=1,1,0))</f>
        <v/>
      </c>
      <c r="AM606" s="7" t="str">
        <f aca="true">IF(I606="","",TODAY()-I606)</f>
        <v/>
      </c>
      <c r="AN606" s="7" t="str">
        <f aca="false">IF(A606="","",IF(AND(E606&lt;&gt;"33 確認済",E606&lt;&gt;"36 送付中"),1,0))</f>
        <v/>
      </c>
      <c r="AO606" s="7" t="str">
        <f aca="false">IF(A606="","",IF(AG606&lt;&gt;"",1,0))</f>
        <v/>
      </c>
    </row>
    <row r="607" customFormat="false" ht="15" hidden="false" customHeight="false" outlineLevel="0" collapsed="false">
      <c r="AL607" s="7" t="str">
        <f aca="false">IF(A607="","",IF(COUNTIF(A607:A$2001,A607)=1,1,0))</f>
        <v/>
      </c>
      <c r="AM607" s="7" t="str">
        <f aca="true">IF(I607="","",TODAY()-I607)</f>
        <v/>
      </c>
      <c r="AN607" s="7" t="str">
        <f aca="false">IF(A607="","",IF(AND(E607&lt;&gt;"33 確認済",E607&lt;&gt;"36 送付中"),1,0))</f>
        <v/>
      </c>
      <c r="AO607" s="7" t="str">
        <f aca="false">IF(A607="","",IF(AG607&lt;&gt;"",1,0))</f>
        <v/>
      </c>
    </row>
    <row r="608" customFormat="false" ht="15" hidden="false" customHeight="false" outlineLevel="0" collapsed="false">
      <c r="AL608" s="7" t="str">
        <f aca="false">IF(A608="","",IF(COUNTIF(A608:A$2001,A608)=1,1,0))</f>
        <v/>
      </c>
      <c r="AM608" s="7" t="str">
        <f aca="true">IF(I608="","",TODAY()-I608)</f>
        <v/>
      </c>
      <c r="AN608" s="7" t="str">
        <f aca="false">IF(A608="","",IF(AND(E608&lt;&gt;"33 確認済",E608&lt;&gt;"36 送付中"),1,0))</f>
        <v/>
      </c>
      <c r="AO608" s="7" t="str">
        <f aca="false">IF(A608="","",IF(AG608&lt;&gt;"",1,0))</f>
        <v/>
      </c>
    </row>
    <row r="609" customFormat="false" ht="15" hidden="false" customHeight="false" outlineLevel="0" collapsed="false">
      <c r="AL609" s="7" t="str">
        <f aca="false">IF(A609="","",IF(COUNTIF(A609:A$2001,A609)=1,1,0))</f>
        <v/>
      </c>
      <c r="AM609" s="7" t="str">
        <f aca="true">IF(I609="","",TODAY()-I609)</f>
        <v/>
      </c>
      <c r="AN609" s="7" t="str">
        <f aca="false">IF(A609="","",IF(AND(E609&lt;&gt;"33 確認済",E609&lt;&gt;"36 送付中"),1,0))</f>
        <v/>
      </c>
      <c r="AO609" s="7" t="str">
        <f aca="false">IF(A609="","",IF(AG609&lt;&gt;"",1,0))</f>
        <v/>
      </c>
    </row>
    <row r="610" customFormat="false" ht="15" hidden="false" customHeight="false" outlineLevel="0" collapsed="false">
      <c r="AL610" s="7" t="str">
        <f aca="false">IF(A610="","",IF(COUNTIF(A610:A$2001,A610)=1,1,0))</f>
        <v/>
      </c>
      <c r="AM610" s="7" t="str">
        <f aca="true">IF(I610="","",TODAY()-I610)</f>
        <v/>
      </c>
      <c r="AN610" s="7" t="str">
        <f aca="false">IF(A610="","",IF(AND(E610&lt;&gt;"33 確認済",E610&lt;&gt;"36 送付中"),1,0))</f>
        <v/>
      </c>
      <c r="AO610" s="7" t="str">
        <f aca="false">IF(A610="","",IF(AG610&lt;&gt;"",1,0))</f>
        <v/>
      </c>
    </row>
    <row r="611" customFormat="false" ht="15" hidden="false" customHeight="false" outlineLevel="0" collapsed="false">
      <c r="AL611" s="7" t="str">
        <f aca="false">IF(A611="","",IF(COUNTIF(A611:A$2001,A611)=1,1,0))</f>
        <v/>
      </c>
      <c r="AM611" s="7" t="str">
        <f aca="true">IF(I611="","",TODAY()-I611)</f>
        <v/>
      </c>
      <c r="AN611" s="7" t="str">
        <f aca="false">IF(A611="","",IF(AND(E611&lt;&gt;"33 確認済",E611&lt;&gt;"36 送付中"),1,0))</f>
        <v/>
      </c>
      <c r="AO611" s="7" t="str">
        <f aca="false">IF(A611="","",IF(AG611&lt;&gt;"",1,0))</f>
        <v/>
      </c>
    </row>
    <row r="612" customFormat="false" ht="15" hidden="false" customHeight="false" outlineLevel="0" collapsed="false">
      <c r="AL612" s="7" t="str">
        <f aca="false">IF(A612="","",IF(COUNTIF(A612:A$2001,A612)=1,1,0))</f>
        <v/>
      </c>
      <c r="AM612" s="7" t="str">
        <f aca="true">IF(I612="","",TODAY()-I612)</f>
        <v/>
      </c>
      <c r="AN612" s="7" t="str">
        <f aca="false">IF(A612="","",IF(AND(E612&lt;&gt;"33 確認済",E612&lt;&gt;"36 送付中"),1,0))</f>
        <v/>
      </c>
      <c r="AO612" s="7" t="str">
        <f aca="false">IF(A612="","",IF(AG612&lt;&gt;"",1,0))</f>
        <v/>
      </c>
    </row>
    <row r="613" customFormat="false" ht="15" hidden="false" customHeight="false" outlineLevel="0" collapsed="false">
      <c r="AL613" s="7" t="str">
        <f aca="false">IF(A613="","",IF(COUNTIF(A613:A$2001,A613)=1,1,0))</f>
        <v/>
      </c>
      <c r="AM613" s="7" t="str">
        <f aca="true">IF(I613="","",TODAY()-I613)</f>
        <v/>
      </c>
      <c r="AN613" s="7" t="str">
        <f aca="false">IF(A613="","",IF(AND(E613&lt;&gt;"33 確認済",E613&lt;&gt;"36 送付中"),1,0))</f>
        <v/>
      </c>
      <c r="AO613" s="7" t="str">
        <f aca="false">IF(A613="","",IF(AG613&lt;&gt;"",1,0))</f>
        <v/>
      </c>
    </row>
    <row r="614" customFormat="false" ht="15" hidden="false" customHeight="false" outlineLevel="0" collapsed="false">
      <c r="AL614" s="7" t="str">
        <f aca="false">IF(A614="","",IF(COUNTIF(A614:A$2001,A614)=1,1,0))</f>
        <v/>
      </c>
      <c r="AM614" s="7" t="str">
        <f aca="true">IF(I614="","",TODAY()-I614)</f>
        <v/>
      </c>
      <c r="AN614" s="7" t="str">
        <f aca="false">IF(A614="","",IF(AND(E614&lt;&gt;"33 確認済",E614&lt;&gt;"36 送付中"),1,0))</f>
        <v/>
      </c>
      <c r="AO614" s="7" t="str">
        <f aca="false">IF(A614="","",IF(AG614&lt;&gt;"",1,0))</f>
        <v/>
      </c>
    </row>
    <row r="615" customFormat="false" ht="15" hidden="false" customHeight="false" outlineLevel="0" collapsed="false">
      <c r="AL615" s="7" t="str">
        <f aca="false">IF(A615="","",IF(COUNTIF(A615:A$2001,A615)=1,1,0))</f>
        <v/>
      </c>
      <c r="AM615" s="7" t="str">
        <f aca="true">IF(I615="","",TODAY()-I615)</f>
        <v/>
      </c>
      <c r="AN615" s="7" t="str">
        <f aca="false">IF(A615="","",IF(AND(E615&lt;&gt;"33 確認済",E615&lt;&gt;"36 送付中"),1,0))</f>
        <v/>
      </c>
      <c r="AO615" s="7" t="str">
        <f aca="false">IF(A615="","",IF(AG615&lt;&gt;"",1,0))</f>
        <v/>
      </c>
    </row>
    <row r="616" customFormat="false" ht="15" hidden="false" customHeight="false" outlineLevel="0" collapsed="false">
      <c r="AL616" s="7" t="str">
        <f aca="false">IF(A616="","",IF(COUNTIF(A616:A$2001,A616)=1,1,0))</f>
        <v/>
      </c>
      <c r="AM616" s="7" t="str">
        <f aca="true">IF(I616="","",TODAY()-I616)</f>
        <v/>
      </c>
      <c r="AN616" s="7" t="str">
        <f aca="false">IF(A616="","",IF(AND(E616&lt;&gt;"33 確認済",E616&lt;&gt;"36 送付中"),1,0))</f>
        <v/>
      </c>
      <c r="AO616" s="7" t="str">
        <f aca="false">IF(A616="","",IF(AG616&lt;&gt;"",1,0))</f>
        <v/>
      </c>
    </row>
    <row r="617" customFormat="false" ht="15" hidden="false" customHeight="false" outlineLevel="0" collapsed="false">
      <c r="AL617" s="7" t="str">
        <f aca="false">IF(A617="","",IF(COUNTIF(A617:A$2001,A617)=1,1,0))</f>
        <v/>
      </c>
      <c r="AM617" s="7" t="str">
        <f aca="true">IF(I617="","",TODAY()-I617)</f>
        <v/>
      </c>
      <c r="AN617" s="7" t="str">
        <f aca="false">IF(A617="","",IF(AND(E617&lt;&gt;"33 確認済",E617&lt;&gt;"36 送付中"),1,0))</f>
        <v/>
      </c>
      <c r="AO617" s="7" t="str">
        <f aca="false">IF(A617="","",IF(AG617&lt;&gt;"",1,0))</f>
        <v/>
      </c>
    </row>
    <row r="618" customFormat="false" ht="15" hidden="false" customHeight="false" outlineLevel="0" collapsed="false">
      <c r="AL618" s="7" t="str">
        <f aca="false">IF(A618="","",IF(COUNTIF(A618:A$2001,A618)=1,1,0))</f>
        <v/>
      </c>
      <c r="AM618" s="7" t="str">
        <f aca="true">IF(I618="","",TODAY()-I618)</f>
        <v/>
      </c>
      <c r="AN618" s="7" t="str">
        <f aca="false">IF(A618="","",IF(AND(E618&lt;&gt;"33 確認済",E618&lt;&gt;"36 送付中"),1,0))</f>
        <v/>
      </c>
      <c r="AO618" s="7" t="str">
        <f aca="false">IF(A618="","",IF(AG618&lt;&gt;"",1,0))</f>
        <v/>
      </c>
    </row>
    <row r="619" customFormat="false" ht="15" hidden="false" customHeight="false" outlineLevel="0" collapsed="false">
      <c r="AL619" s="7" t="str">
        <f aca="false">IF(A619="","",IF(COUNTIF(A619:A$2001,A619)=1,1,0))</f>
        <v/>
      </c>
      <c r="AM619" s="7" t="str">
        <f aca="true">IF(I619="","",TODAY()-I619)</f>
        <v/>
      </c>
      <c r="AN619" s="7" t="str">
        <f aca="false">IF(A619="","",IF(AND(E619&lt;&gt;"33 確認済",E619&lt;&gt;"36 送付中"),1,0))</f>
        <v/>
      </c>
      <c r="AO619" s="7" t="str">
        <f aca="false">IF(A619="","",IF(AG619&lt;&gt;"",1,0))</f>
        <v/>
      </c>
    </row>
    <row r="620" customFormat="false" ht="15" hidden="false" customHeight="false" outlineLevel="0" collapsed="false">
      <c r="AL620" s="7" t="str">
        <f aca="false">IF(A620="","",IF(COUNTIF(A620:A$2001,A620)=1,1,0))</f>
        <v/>
      </c>
      <c r="AM620" s="7" t="str">
        <f aca="true">IF(I620="","",TODAY()-I620)</f>
        <v/>
      </c>
      <c r="AN620" s="7" t="str">
        <f aca="false">IF(A620="","",IF(AND(E620&lt;&gt;"33 確認済",E620&lt;&gt;"36 送付中"),1,0))</f>
        <v/>
      </c>
      <c r="AO620" s="7" t="str">
        <f aca="false">IF(A620="","",IF(AG620&lt;&gt;"",1,0))</f>
        <v/>
      </c>
    </row>
    <row r="621" customFormat="false" ht="15" hidden="false" customHeight="false" outlineLevel="0" collapsed="false">
      <c r="AL621" s="7" t="str">
        <f aca="false">IF(A621="","",IF(COUNTIF(A621:A$2001,A621)=1,1,0))</f>
        <v/>
      </c>
      <c r="AM621" s="7" t="str">
        <f aca="true">IF(I621="","",TODAY()-I621)</f>
        <v/>
      </c>
      <c r="AN621" s="7" t="str">
        <f aca="false">IF(A621="","",IF(AND(E621&lt;&gt;"33 確認済",E621&lt;&gt;"36 送付中"),1,0))</f>
        <v/>
      </c>
      <c r="AO621" s="7" t="str">
        <f aca="false">IF(A621="","",IF(AG621&lt;&gt;"",1,0))</f>
        <v/>
      </c>
    </row>
    <row r="622" customFormat="false" ht="15" hidden="false" customHeight="false" outlineLevel="0" collapsed="false">
      <c r="AL622" s="7" t="str">
        <f aca="false">IF(A622="","",IF(COUNTIF(A622:A$2001,A622)=1,1,0))</f>
        <v/>
      </c>
      <c r="AM622" s="7" t="str">
        <f aca="true">IF(I622="","",TODAY()-I622)</f>
        <v/>
      </c>
      <c r="AN622" s="7" t="str">
        <f aca="false">IF(A622="","",IF(AND(E622&lt;&gt;"33 確認済",E622&lt;&gt;"36 送付中"),1,0))</f>
        <v/>
      </c>
      <c r="AO622" s="7" t="str">
        <f aca="false">IF(A622="","",IF(AG622&lt;&gt;"",1,0))</f>
        <v/>
      </c>
    </row>
    <row r="623" customFormat="false" ht="15" hidden="false" customHeight="false" outlineLevel="0" collapsed="false">
      <c r="AL623" s="7" t="str">
        <f aca="false">IF(A623="","",IF(COUNTIF(A623:A$2001,A623)=1,1,0))</f>
        <v/>
      </c>
      <c r="AM623" s="7" t="str">
        <f aca="true">IF(I623="","",TODAY()-I623)</f>
        <v/>
      </c>
      <c r="AN623" s="7" t="str">
        <f aca="false">IF(A623="","",IF(AND(E623&lt;&gt;"33 確認済",E623&lt;&gt;"36 送付中"),1,0))</f>
        <v/>
      </c>
      <c r="AO623" s="7" t="str">
        <f aca="false">IF(A623="","",IF(AG623&lt;&gt;"",1,0))</f>
        <v/>
      </c>
    </row>
    <row r="624" customFormat="false" ht="15" hidden="false" customHeight="false" outlineLevel="0" collapsed="false">
      <c r="AL624" s="7" t="str">
        <f aca="false">IF(A624="","",IF(COUNTIF(A624:A$2001,A624)=1,1,0))</f>
        <v/>
      </c>
      <c r="AM624" s="7" t="str">
        <f aca="true">IF(I624="","",TODAY()-I624)</f>
        <v/>
      </c>
      <c r="AN624" s="7" t="str">
        <f aca="false">IF(A624="","",IF(AND(E624&lt;&gt;"33 確認済",E624&lt;&gt;"36 送付中"),1,0))</f>
        <v/>
      </c>
      <c r="AO624" s="7" t="str">
        <f aca="false">IF(A624="","",IF(AG624&lt;&gt;"",1,0))</f>
        <v/>
      </c>
    </row>
    <row r="625" customFormat="false" ht="15" hidden="false" customHeight="false" outlineLevel="0" collapsed="false">
      <c r="AL625" s="7" t="str">
        <f aca="false">IF(A625="","",IF(COUNTIF(A625:A$2001,A625)=1,1,0))</f>
        <v/>
      </c>
      <c r="AM625" s="7" t="str">
        <f aca="true">IF(I625="","",TODAY()-I625)</f>
        <v/>
      </c>
      <c r="AN625" s="7" t="str">
        <f aca="false">IF(A625="","",IF(AND(E625&lt;&gt;"33 確認済",E625&lt;&gt;"36 送付中"),1,0))</f>
        <v/>
      </c>
      <c r="AO625" s="7" t="str">
        <f aca="false">IF(A625="","",IF(AG625&lt;&gt;"",1,0))</f>
        <v/>
      </c>
    </row>
    <row r="626" customFormat="false" ht="15" hidden="false" customHeight="false" outlineLevel="0" collapsed="false">
      <c r="AL626" s="7" t="str">
        <f aca="false">IF(A626="","",IF(COUNTIF(A626:A$2001,A626)=1,1,0))</f>
        <v/>
      </c>
      <c r="AM626" s="7" t="str">
        <f aca="true">IF(I626="","",TODAY()-I626)</f>
        <v/>
      </c>
      <c r="AN626" s="7" t="str">
        <f aca="false">IF(A626="","",IF(AND(E626&lt;&gt;"33 確認済",E626&lt;&gt;"36 送付中"),1,0))</f>
        <v/>
      </c>
      <c r="AO626" s="7" t="str">
        <f aca="false">IF(A626="","",IF(AG626&lt;&gt;"",1,0))</f>
        <v/>
      </c>
    </row>
    <row r="627" customFormat="false" ht="15" hidden="false" customHeight="false" outlineLevel="0" collapsed="false">
      <c r="AL627" s="7" t="str">
        <f aca="false">IF(A627="","",IF(COUNTIF(A627:A$2001,A627)=1,1,0))</f>
        <v/>
      </c>
      <c r="AM627" s="7" t="str">
        <f aca="true">IF(I627="","",TODAY()-I627)</f>
        <v/>
      </c>
      <c r="AN627" s="7" t="str">
        <f aca="false">IF(A627="","",IF(AND(E627&lt;&gt;"33 確認済",E627&lt;&gt;"36 送付中"),1,0))</f>
        <v/>
      </c>
      <c r="AO627" s="7" t="str">
        <f aca="false">IF(A627="","",IF(AG627&lt;&gt;"",1,0))</f>
        <v/>
      </c>
    </row>
    <row r="628" customFormat="false" ht="15" hidden="false" customHeight="false" outlineLevel="0" collapsed="false">
      <c r="AL628" s="7" t="str">
        <f aca="false">IF(A628="","",IF(COUNTIF(A628:A$2001,A628)=1,1,0))</f>
        <v/>
      </c>
      <c r="AM628" s="7" t="str">
        <f aca="true">IF(I628="","",TODAY()-I628)</f>
        <v/>
      </c>
      <c r="AN628" s="7" t="str">
        <f aca="false">IF(A628="","",IF(AND(E628&lt;&gt;"33 確認済",E628&lt;&gt;"36 送付中"),1,0))</f>
        <v/>
      </c>
      <c r="AO628" s="7" t="str">
        <f aca="false">IF(A628="","",IF(AG628&lt;&gt;"",1,0))</f>
        <v/>
      </c>
    </row>
    <row r="629" customFormat="false" ht="15" hidden="false" customHeight="false" outlineLevel="0" collapsed="false">
      <c r="AL629" s="7" t="str">
        <f aca="false">IF(A629="","",IF(COUNTIF(A629:A$2001,A629)=1,1,0))</f>
        <v/>
      </c>
      <c r="AM629" s="7" t="str">
        <f aca="true">IF(I629="","",TODAY()-I629)</f>
        <v/>
      </c>
      <c r="AN629" s="7" t="str">
        <f aca="false">IF(A629="","",IF(AND(E629&lt;&gt;"33 確認済",E629&lt;&gt;"36 送付中"),1,0))</f>
        <v/>
      </c>
      <c r="AO629" s="7" t="str">
        <f aca="false">IF(A629="","",IF(AG629&lt;&gt;"",1,0))</f>
        <v/>
      </c>
    </row>
    <row r="630" customFormat="false" ht="15" hidden="false" customHeight="false" outlineLevel="0" collapsed="false">
      <c r="AL630" s="7" t="str">
        <f aca="false">IF(A630="","",IF(COUNTIF(A630:A$2001,A630)=1,1,0))</f>
        <v/>
      </c>
      <c r="AM630" s="7" t="str">
        <f aca="true">IF(I630="","",TODAY()-I630)</f>
        <v/>
      </c>
      <c r="AN630" s="7" t="str">
        <f aca="false">IF(A630="","",IF(AND(E630&lt;&gt;"33 確認済",E630&lt;&gt;"36 送付中"),1,0))</f>
        <v/>
      </c>
      <c r="AO630" s="7" t="str">
        <f aca="false">IF(A630="","",IF(AG630&lt;&gt;"",1,0))</f>
        <v/>
      </c>
    </row>
    <row r="631" customFormat="false" ht="15" hidden="false" customHeight="false" outlineLevel="0" collapsed="false">
      <c r="AL631" s="7" t="str">
        <f aca="false">IF(A631="","",IF(COUNTIF(A631:A$2001,A631)=1,1,0))</f>
        <v/>
      </c>
      <c r="AM631" s="7" t="str">
        <f aca="true">IF(I631="","",TODAY()-I631)</f>
        <v/>
      </c>
      <c r="AN631" s="7" t="str">
        <f aca="false">IF(A631="","",IF(AND(E631&lt;&gt;"33 確認済",E631&lt;&gt;"36 送付中"),1,0))</f>
        <v/>
      </c>
      <c r="AO631" s="7" t="str">
        <f aca="false">IF(A631="","",IF(AG631&lt;&gt;"",1,0))</f>
        <v/>
      </c>
    </row>
    <row r="632" customFormat="false" ht="15" hidden="false" customHeight="false" outlineLevel="0" collapsed="false">
      <c r="AL632" s="7" t="str">
        <f aca="false">IF(A632="","",IF(COUNTIF(A632:A$2001,A632)=1,1,0))</f>
        <v/>
      </c>
      <c r="AM632" s="7" t="str">
        <f aca="true">IF(I632="","",TODAY()-I632)</f>
        <v/>
      </c>
      <c r="AN632" s="7" t="str">
        <f aca="false">IF(A632="","",IF(AND(E632&lt;&gt;"33 確認済",E632&lt;&gt;"36 送付中"),1,0))</f>
        <v/>
      </c>
      <c r="AO632" s="7" t="str">
        <f aca="false">IF(A632="","",IF(AG632&lt;&gt;"",1,0))</f>
        <v/>
      </c>
    </row>
    <row r="633" customFormat="false" ht="15" hidden="false" customHeight="false" outlineLevel="0" collapsed="false">
      <c r="AL633" s="7" t="str">
        <f aca="false">IF(A633="","",IF(COUNTIF(A633:A$2001,A633)=1,1,0))</f>
        <v/>
      </c>
      <c r="AM633" s="7" t="str">
        <f aca="true">IF(I633="","",TODAY()-I633)</f>
        <v/>
      </c>
      <c r="AN633" s="7" t="str">
        <f aca="false">IF(A633="","",IF(AND(E633&lt;&gt;"33 確認済",E633&lt;&gt;"36 送付中"),1,0))</f>
        <v/>
      </c>
      <c r="AO633" s="7" t="str">
        <f aca="false">IF(A633="","",IF(AG633&lt;&gt;"",1,0))</f>
        <v/>
      </c>
    </row>
    <row r="634" customFormat="false" ht="15" hidden="false" customHeight="false" outlineLevel="0" collapsed="false">
      <c r="AL634" s="7" t="str">
        <f aca="false">IF(A634="","",IF(COUNTIF(A634:A$2001,A634)=1,1,0))</f>
        <v/>
      </c>
      <c r="AM634" s="7" t="str">
        <f aca="true">IF(I634="","",TODAY()-I634)</f>
        <v/>
      </c>
      <c r="AN634" s="7" t="str">
        <f aca="false">IF(A634="","",IF(AND(E634&lt;&gt;"33 確認済",E634&lt;&gt;"36 送付中"),1,0))</f>
        <v/>
      </c>
      <c r="AO634" s="7" t="str">
        <f aca="false">IF(A634="","",IF(AG634&lt;&gt;"",1,0))</f>
        <v/>
      </c>
    </row>
    <row r="635" customFormat="false" ht="15" hidden="false" customHeight="false" outlineLevel="0" collapsed="false">
      <c r="AL635" s="7" t="str">
        <f aca="false">IF(A635="","",IF(COUNTIF(A635:A$2001,A635)=1,1,0))</f>
        <v/>
      </c>
      <c r="AM635" s="7" t="str">
        <f aca="true">IF(I635="","",TODAY()-I635)</f>
        <v/>
      </c>
      <c r="AN635" s="7" t="str">
        <f aca="false">IF(A635="","",IF(AND(E635&lt;&gt;"33 確認済",E635&lt;&gt;"36 送付中"),1,0))</f>
        <v/>
      </c>
      <c r="AO635" s="7" t="str">
        <f aca="false">IF(A635="","",IF(AG635&lt;&gt;"",1,0))</f>
        <v/>
      </c>
    </row>
    <row r="636" customFormat="false" ht="15" hidden="false" customHeight="false" outlineLevel="0" collapsed="false">
      <c r="AL636" s="7" t="str">
        <f aca="false">IF(A636="","",IF(COUNTIF(A636:A$2001,A636)=1,1,0))</f>
        <v/>
      </c>
      <c r="AM636" s="7" t="str">
        <f aca="true">IF(I636="","",TODAY()-I636)</f>
        <v/>
      </c>
      <c r="AN636" s="7" t="str">
        <f aca="false">IF(A636="","",IF(AND(E636&lt;&gt;"33 確認済",E636&lt;&gt;"36 送付中"),1,0))</f>
        <v/>
      </c>
      <c r="AO636" s="7" t="str">
        <f aca="false">IF(A636="","",IF(AG636&lt;&gt;"",1,0))</f>
        <v/>
      </c>
    </row>
    <row r="637" customFormat="false" ht="15" hidden="false" customHeight="false" outlineLevel="0" collapsed="false">
      <c r="AL637" s="7" t="str">
        <f aca="false">IF(A637="","",IF(COUNTIF(A637:A$2001,A637)=1,1,0))</f>
        <v/>
      </c>
      <c r="AM637" s="7" t="str">
        <f aca="true">IF(I637="","",TODAY()-I637)</f>
        <v/>
      </c>
      <c r="AN637" s="7" t="str">
        <f aca="false">IF(A637="","",IF(AND(E637&lt;&gt;"33 確認済",E637&lt;&gt;"36 送付中"),1,0))</f>
        <v/>
      </c>
      <c r="AO637" s="7" t="str">
        <f aca="false">IF(A637="","",IF(AG637&lt;&gt;"",1,0))</f>
        <v/>
      </c>
    </row>
    <row r="638" customFormat="false" ht="15" hidden="false" customHeight="false" outlineLevel="0" collapsed="false">
      <c r="AL638" s="7" t="str">
        <f aca="false">IF(A638="","",IF(COUNTIF(A638:A$2001,A638)=1,1,0))</f>
        <v/>
      </c>
      <c r="AM638" s="7" t="str">
        <f aca="true">IF(I638="","",TODAY()-I638)</f>
        <v/>
      </c>
      <c r="AN638" s="7" t="str">
        <f aca="false">IF(A638="","",IF(AND(E638&lt;&gt;"33 確認済",E638&lt;&gt;"36 送付中"),1,0))</f>
        <v/>
      </c>
      <c r="AO638" s="7" t="str">
        <f aca="false">IF(A638="","",IF(AG638&lt;&gt;"",1,0))</f>
        <v/>
      </c>
    </row>
    <row r="639" customFormat="false" ht="15" hidden="false" customHeight="false" outlineLevel="0" collapsed="false">
      <c r="AL639" s="7" t="str">
        <f aca="false">IF(A639="","",IF(COUNTIF(A639:A$2001,A639)=1,1,0))</f>
        <v/>
      </c>
      <c r="AM639" s="7" t="str">
        <f aca="true">IF(I639="","",TODAY()-I639)</f>
        <v/>
      </c>
      <c r="AN639" s="7" t="str">
        <f aca="false">IF(A639="","",IF(AND(E639&lt;&gt;"33 確認済",E639&lt;&gt;"36 送付中"),1,0))</f>
        <v/>
      </c>
      <c r="AO639" s="7" t="str">
        <f aca="false">IF(A639="","",IF(AG639&lt;&gt;"",1,0))</f>
        <v/>
      </c>
    </row>
    <row r="640" customFormat="false" ht="15" hidden="false" customHeight="false" outlineLevel="0" collapsed="false">
      <c r="AL640" s="7" t="str">
        <f aca="false">IF(A640="","",IF(COUNTIF(A640:A$2001,A640)=1,1,0))</f>
        <v/>
      </c>
      <c r="AM640" s="7" t="str">
        <f aca="true">IF(I640="","",TODAY()-I640)</f>
        <v/>
      </c>
      <c r="AN640" s="7" t="str">
        <f aca="false">IF(A640="","",IF(AND(E640&lt;&gt;"33 確認済",E640&lt;&gt;"36 送付中"),1,0))</f>
        <v/>
      </c>
      <c r="AO640" s="7" t="str">
        <f aca="false">IF(A640="","",IF(AG640&lt;&gt;"",1,0))</f>
        <v/>
      </c>
    </row>
    <row r="641" customFormat="false" ht="15" hidden="false" customHeight="false" outlineLevel="0" collapsed="false">
      <c r="AL641" s="7" t="str">
        <f aca="false">IF(A641="","",IF(COUNTIF(A641:A$2001,A641)=1,1,0))</f>
        <v/>
      </c>
      <c r="AM641" s="7" t="str">
        <f aca="true">IF(I641="","",TODAY()-I641)</f>
        <v/>
      </c>
      <c r="AN641" s="7" t="str">
        <f aca="false">IF(A641="","",IF(AND(E641&lt;&gt;"33 確認済",E641&lt;&gt;"36 送付中"),1,0))</f>
        <v/>
      </c>
      <c r="AO641" s="7" t="str">
        <f aca="false">IF(A641="","",IF(AG641&lt;&gt;"",1,0))</f>
        <v/>
      </c>
    </row>
    <row r="642" customFormat="false" ht="15" hidden="false" customHeight="false" outlineLevel="0" collapsed="false">
      <c r="AL642" s="7" t="str">
        <f aca="false">IF(A642="","",IF(COUNTIF(A642:A$2001,A642)=1,1,0))</f>
        <v/>
      </c>
      <c r="AM642" s="7" t="str">
        <f aca="true">IF(I642="","",TODAY()-I642)</f>
        <v/>
      </c>
      <c r="AN642" s="7" t="str">
        <f aca="false">IF(A642="","",IF(AND(E642&lt;&gt;"33 確認済",E642&lt;&gt;"36 送付中"),1,0))</f>
        <v/>
      </c>
      <c r="AO642" s="7" t="str">
        <f aca="false">IF(A642="","",IF(AG642&lt;&gt;"",1,0))</f>
        <v/>
      </c>
    </row>
    <row r="643" customFormat="false" ht="15" hidden="false" customHeight="false" outlineLevel="0" collapsed="false">
      <c r="AL643" s="7" t="str">
        <f aca="false">IF(A643="","",IF(COUNTIF(A643:A$2001,A643)=1,1,0))</f>
        <v/>
      </c>
      <c r="AM643" s="7" t="str">
        <f aca="true">IF(I643="","",TODAY()-I643)</f>
        <v/>
      </c>
      <c r="AN643" s="7" t="str">
        <f aca="false">IF(A643="","",IF(AND(E643&lt;&gt;"33 確認済",E643&lt;&gt;"36 送付中"),1,0))</f>
        <v/>
      </c>
      <c r="AO643" s="7" t="str">
        <f aca="false">IF(A643="","",IF(AG643&lt;&gt;"",1,0))</f>
        <v/>
      </c>
    </row>
    <row r="644" customFormat="false" ht="15" hidden="false" customHeight="false" outlineLevel="0" collapsed="false">
      <c r="AL644" s="7" t="str">
        <f aca="false">IF(A644="","",IF(COUNTIF(A644:A$2001,A644)=1,1,0))</f>
        <v/>
      </c>
      <c r="AM644" s="7" t="str">
        <f aca="true">IF(I644="","",TODAY()-I644)</f>
        <v/>
      </c>
      <c r="AN644" s="7" t="str">
        <f aca="false">IF(A644="","",IF(AND(E644&lt;&gt;"33 確認済",E644&lt;&gt;"36 送付中"),1,0))</f>
        <v/>
      </c>
      <c r="AO644" s="7" t="str">
        <f aca="false">IF(A644="","",IF(AG644&lt;&gt;"",1,0))</f>
        <v/>
      </c>
    </row>
    <row r="645" customFormat="false" ht="15" hidden="false" customHeight="false" outlineLevel="0" collapsed="false">
      <c r="AL645" s="7" t="str">
        <f aca="false">IF(A645="","",IF(COUNTIF(A645:A$2001,A645)=1,1,0))</f>
        <v/>
      </c>
      <c r="AM645" s="7" t="str">
        <f aca="true">IF(I645="","",TODAY()-I645)</f>
        <v/>
      </c>
      <c r="AN645" s="7" t="str">
        <f aca="false">IF(A645="","",IF(AND(E645&lt;&gt;"33 確認済",E645&lt;&gt;"36 送付中"),1,0))</f>
        <v/>
      </c>
      <c r="AO645" s="7" t="str">
        <f aca="false">IF(A645="","",IF(AG645&lt;&gt;"",1,0))</f>
        <v/>
      </c>
    </row>
    <row r="646" customFormat="false" ht="15" hidden="false" customHeight="false" outlineLevel="0" collapsed="false">
      <c r="AL646" s="7" t="str">
        <f aca="false">IF(A646="","",IF(COUNTIF(A646:A$2001,A646)=1,1,0))</f>
        <v/>
      </c>
      <c r="AM646" s="7" t="str">
        <f aca="true">IF(I646="","",TODAY()-I646)</f>
        <v/>
      </c>
      <c r="AN646" s="7" t="str">
        <f aca="false">IF(A646="","",IF(AND(E646&lt;&gt;"33 確認済",E646&lt;&gt;"36 送付中"),1,0))</f>
        <v/>
      </c>
      <c r="AO646" s="7" t="str">
        <f aca="false">IF(A646="","",IF(AG646&lt;&gt;"",1,0))</f>
        <v/>
      </c>
    </row>
    <row r="647" customFormat="false" ht="15" hidden="false" customHeight="false" outlineLevel="0" collapsed="false">
      <c r="AL647" s="7" t="str">
        <f aca="false">IF(A647="","",IF(COUNTIF(A647:A$2001,A647)=1,1,0))</f>
        <v/>
      </c>
      <c r="AM647" s="7" t="str">
        <f aca="true">IF(I647="","",TODAY()-I647)</f>
        <v/>
      </c>
      <c r="AN647" s="7" t="str">
        <f aca="false">IF(A647="","",IF(AND(E647&lt;&gt;"33 確認済",E647&lt;&gt;"36 送付中"),1,0))</f>
        <v/>
      </c>
      <c r="AO647" s="7" t="str">
        <f aca="false">IF(A647="","",IF(AG647&lt;&gt;"",1,0))</f>
        <v/>
      </c>
    </row>
    <row r="648" customFormat="false" ht="15" hidden="false" customHeight="false" outlineLevel="0" collapsed="false">
      <c r="AL648" s="7" t="str">
        <f aca="false">IF(A648="","",IF(COUNTIF(A648:A$2001,A648)=1,1,0))</f>
        <v/>
      </c>
      <c r="AM648" s="7" t="str">
        <f aca="true">IF(I648="","",TODAY()-I648)</f>
        <v/>
      </c>
      <c r="AN648" s="7" t="str">
        <f aca="false">IF(A648="","",IF(AND(E648&lt;&gt;"33 確認済",E648&lt;&gt;"36 送付中"),1,0))</f>
        <v/>
      </c>
      <c r="AO648" s="7" t="str">
        <f aca="false">IF(A648="","",IF(AG648&lt;&gt;"",1,0))</f>
        <v/>
      </c>
    </row>
    <row r="649" customFormat="false" ht="15" hidden="false" customHeight="false" outlineLevel="0" collapsed="false">
      <c r="AL649" s="7" t="str">
        <f aca="false">IF(A649="","",IF(COUNTIF(A649:A$2001,A649)=1,1,0))</f>
        <v/>
      </c>
      <c r="AM649" s="7" t="str">
        <f aca="true">IF(I649="","",TODAY()-I649)</f>
        <v/>
      </c>
      <c r="AN649" s="7" t="str">
        <f aca="false">IF(A649="","",IF(AND(E649&lt;&gt;"33 確認済",E649&lt;&gt;"36 送付中"),1,0))</f>
        <v/>
      </c>
      <c r="AO649" s="7" t="str">
        <f aca="false">IF(A649="","",IF(AG649&lt;&gt;"",1,0))</f>
        <v/>
      </c>
    </row>
    <row r="650" customFormat="false" ht="15" hidden="false" customHeight="false" outlineLevel="0" collapsed="false">
      <c r="AL650" s="7" t="str">
        <f aca="false">IF(A650="","",IF(COUNTIF(A650:A$2001,A650)=1,1,0))</f>
        <v/>
      </c>
      <c r="AM650" s="7" t="str">
        <f aca="true">IF(I650="","",TODAY()-I650)</f>
        <v/>
      </c>
      <c r="AN650" s="7" t="str">
        <f aca="false">IF(A650="","",IF(AND(E650&lt;&gt;"33 確認済",E650&lt;&gt;"36 送付中"),1,0))</f>
        <v/>
      </c>
      <c r="AO650" s="7" t="str">
        <f aca="false">IF(A650="","",IF(AG650&lt;&gt;"",1,0))</f>
        <v/>
      </c>
    </row>
    <row r="651" customFormat="false" ht="15" hidden="false" customHeight="false" outlineLevel="0" collapsed="false">
      <c r="AL651" s="7" t="str">
        <f aca="false">IF(A651="","",IF(COUNTIF(A651:A$2001,A651)=1,1,0))</f>
        <v/>
      </c>
      <c r="AM651" s="7" t="str">
        <f aca="true">IF(I651="","",TODAY()-I651)</f>
        <v/>
      </c>
      <c r="AN651" s="7" t="str">
        <f aca="false">IF(A651="","",IF(AND(E651&lt;&gt;"33 確認済",E651&lt;&gt;"36 送付中"),1,0))</f>
        <v/>
      </c>
      <c r="AO651" s="7" t="str">
        <f aca="false">IF(A651="","",IF(AG651&lt;&gt;"",1,0))</f>
        <v/>
      </c>
    </row>
    <row r="652" customFormat="false" ht="15" hidden="false" customHeight="false" outlineLevel="0" collapsed="false">
      <c r="AL652" s="7" t="str">
        <f aca="false">IF(A652="","",IF(COUNTIF(A652:A$2001,A652)=1,1,0))</f>
        <v/>
      </c>
      <c r="AM652" s="7" t="str">
        <f aca="true">IF(I652="","",TODAY()-I652)</f>
        <v/>
      </c>
      <c r="AN652" s="7" t="str">
        <f aca="false">IF(A652="","",IF(AND(E652&lt;&gt;"33 確認済",E652&lt;&gt;"36 送付中"),1,0))</f>
        <v/>
      </c>
      <c r="AO652" s="7" t="str">
        <f aca="false">IF(A652="","",IF(AG652&lt;&gt;"",1,0))</f>
        <v/>
      </c>
    </row>
    <row r="653" customFormat="false" ht="15" hidden="false" customHeight="false" outlineLevel="0" collapsed="false">
      <c r="AL653" s="7" t="str">
        <f aca="false">IF(A653="","",IF(COUNTIF(A653:A$2001,A653)=1,1,0))</f>
        <v/>
      </c>
      <c r="AM653" s="7" t="str">
        <f aca="true">IF(I653="","",TODAY()-I653)</f>
        <v/>
      </c>
      <c r="AN653" s="7" t="str">
        <f aca="false">IF(A653="","",IF(AND(E653&lt;&gt;"33 確認済",E653&lt;&gt;"36 送付中"),1,0))</f>
        <v/>
      </c>
      <c r="AO653" s="7" t="str">
        <f aca="false">IF(A653="","",IF(AG653&lt;&gt;"",1,0))</f>
        <v/>
      </c>
    </row>
    <row r="654" customFormat="false" ht="15" hidden="false" customHeight="false" outlineLevel="0" collapsed="false">
      <c r="AL654" s="7" t="str">
        <f aca="false">IF(A654="","",IF(COUNTIF(A654:A$2001,A654)=1,1,0))</f>
        <v/>
      </c>
      <c r="AM654" s="7" t="str">
        <f aca="true">IF(I654="","",TODAY()-I654)</f>
        <v/>
      </c>
      <c r="AN654" s="7" t="str">
        <f aca="false">IF(A654="","",IF(AND(E654&lt;&gt;"33 確認済",E654&lt;&gt;"36 送付中"),1,0))</f>
        <v/>
      </c>
      <c r="AO654" s="7" t="str">
        <f aca="false">IF(A654="","",IF(AG654&lt;&gt;"",1,0))</f>
        <v/>
      </c>
    </row>
    <row r="655" customFormat="false" ht="15" hidden="false" customHeight="false" outlineLevel="0" collapsed="false">
      <c r="AL655" s="7" t="str">
        <f aca="false">IF(A655="","",IF(COUNTIF(A655:A$2001,A655)=1,1,0))</f>
        <v/>
      </c>
      <c r="AM655" s="7" t="str">
        <f aca="true">IF(I655="","",TODAY()-I655)</f>
        <v/>
      </c>
      <c r="AN655" s="7" t="str">
        <f aca="false">IF(A655="","",IF(AND(E655&lt;&gt;"33 確認済",E655&lt;&gt;"36 送付中"),1,0))</f>
        <v/>
      </c>
      <c r="AO655" s="7" t="str">
        <f aca="false">IF(A655="","",IF(AG655&lt;&gt;"",1,0))</f>
        <v/>
      </c>
    </row>
    <row r="656" customFormat="false" ht="15" hidden="false" customHeight="false" outlineLevel="0" collapsed="false">
      <c r="AL656" s="7" t="str">
        <f aca="false">IF(A656="","",IF(COUNTIF(A656:A$2001,A656)=1,1,0))</f>
        <v/>
      </c>
      <c r="AM656" s="7" t="str">
        <f aca="true">IF(I656="","",TODAY()-I656)</f>
        <v/>
      </c>
      <c r="AN656" s="7" t="str">
        <f aca="false">IF(A656="","",IF(AND(E656&lt;&gt;"33 確認済",E656&lt;&gt;"36 送付中"),1,0))</f>
        <v/>
      </c>
      <c r="AO656" s="7" t="str">
        <f aca="false">IF(A656="","",IF(AG656&lt;&gt;"",1,0))</f>
        <v/>
      </c>
    </row>
    <row r="657" customFormat="false" ht="15" hidden="false" customHeight="false" outlineLevel="0" collapsed="false">
      <c r="AL657" s="7" t="str">
        <f aca="false">IF(A657="","",IF(COUNTIF(A657:A$2001,A657)=1,1,0))</f>
        <v/>
      </c>
      <c r="AM657" s="7" t="str">
        <f aca="true">IF(I657="","",TODAY()-I657)</f>
        <v/>
      </c>
      <c r="AN657" s="7" t="str">
        <f aca="false">IF(A657="","",IF(AND(E657&lt;&gt;"33 確認済",E657&lt;&gt;"36 送付中"),1,0))</f>
        <v/>
      </c>
      <c r="AO657" s="7" t="str">
        <f aca="false">IF(A657="","",IF(AG657&lt;&gt;"",1,0))</f>
        <v/>
      </c>
    </row>
    <row r="658" customFormat="false" ht="15" hidden="false" customHeight="false" outlineLevel="0" collapsed="false">
      <c r="AL658" s="7" t="str">
        <f aca="false">IF(A658="","",IF(COUNTIF(A658:A$2001,A658)=1,1,0))</f>
        <v/>
      </c>
      <c r="AM658" s="7" t="str">
        <f aca="true">IF(I658="","",TODAY()-I658)</f>
        <v/>
      </c>
      <c r="AN658" s="7" t="str">
        <f aca="false">IF(A658="","",IF(AND(E658&lt;&gt;"33 確認済",E658&lt;&gt;"36 送付中"),1,0))</f>
        <v/>
      </c>
      <c r="AO658" s="7" t="str">
        <f aca="false">IF(A658="","",IF(AG658&lt;&gt;"",1,0))</f>
        <v/>
      </c>
    </row>
    <row r="659" customFormat="false" ht="15" hidden="false" customHeight="false" outlineLevel="0" collapsed="false">
      <c r="AL659" s="7" t="str">
        <f aca="false">IF(A659="","",IF(COUNTIF(A659:A$2001,A659)=1,1,0))</f>
        <v/>
      </c>
      <c r="AM659" s="7" t="str">
        <f aca="true">IF(I659="","",TODAY()-I659)</f>
        <v/>
      </c>
      <c r="AN659" s="7" t="str">
        <f aca="false">IF(A659="","",IF(AND(E659&lt;&gt;"33 確認済",E659&lt;&gt;"36 送付中"),1,0))</f>
        <v/>
      </c>
      <c r="AO659" s="7" t="str">
        <f aca="false">IF(A659="","",IF(AG659&lt;&gt;"",1,0))</f>
        <v/>
      </c>
    </row>
    <row r="660" customFormat="false" ht="15" hidden="false" customHeight="false" outlineLevel="0" collapsed="false">
      <c r="AL660" s="7" t="str">
        <f aca="false">IF(A660="","",IF(COUNTIF(A660:A$2001,A660)=1,1,0))</f>
        <v/>
      </c>
      <c r="AM660" s="7" t="str">
        <f aca="true">IF(I660="","",TODAY()-I660)</f>
        <v/>
      </c>
      <c r="AN660" s="7" t="str">
        <f aca="false">IF(A660="","",IF(AND(E660&lt;&gt;"33 確認済",E660&lt;&gt;"36 送付中"),1,0))</f>
        <v/>
      </c>
      <c r="AO660" s="7" t="str">
        <f aca="false">IF(A660="","",IF(AG660&lt;&gt;"",1,0))</f>
        <v/>
      </c>
    </row>
    <row r="661" customFormat="false" ht="15" hidden="false" customHeight="false" outlineLevel="0" collapsed="false">
      <c r="AL661" s="7" t="str">
        <f aca="false">IF(A661="","",IF(COUNTIF(A661:A$2001,A661)=1,1,0))</f>
        <v/>
      </c>
      <c r="AM661" s="7" t="str">
        <f aca="true">IF(I661="","",TODAY()-I661)</f>
        <v/>
      </c>
      <c r="AN661" s="7" t="str">
        <f aca="false">IF(A661="","",IF(AND(E661&lt;&gt;"33 確認済",E661&lt;&gt;"36 送付中"),1,0))</f>
        <v/>
      </c>
      <c r="AO661" s="7" t="str">
        <f aca="false">IF(A661="","",IF(AG661&lt;&gt;"",1,0))</f>
        <v/>
      </c>
    </row>
    <row r="662" customFormat="false" ht="15" hidden="false" customHeight="false" outlineLevel="0" collapsed="false">
      <c r="AL662" s="7" t="str">
        <f aca="false">IF(A662="","",IF(COUNTIF(A662:A$2001,A662)=1,1,0))</f>
        <v/>
      </c>
      <c r="AM662" s="7" t="str">
        <f aca="true">IF(I662="","",TODAY()-I662)</f>
        <v/>
      </c>
      <c r="AN662" s="7" t="str">
        <f aca="false">IF(A662="","",IF(AND(E662&lt;&gt;"33 確認済",E662&lt;&gt;"36 送付中"),1,0))</f>
        <v/>
      </c>
      <c r="AO662" s="7" t="str">
        <f aca="false">IF(A662="","",IF(AG662&lt;&gt;"",1,0))</f>
        <v/>
      </c>
    </row>
    <row r="663" customFormat="false" ht="15" hidden="false" customHeight="false" outlineLevel="0" collapsed="false">
      <c r="AL663" s="7" t="str">
        <f aca="false">IF(A663="","",IF(COUNTIF(A663:A$2001,A663)=1,1,0))</f>
        <v/>
      </c>
      <c r="AM663" s="7" t="str">
        <f aca="true">IF(I663="","",TODAY()-I663)</f>
        <v/>
      </c>
      <c r="AN663" s="7" t="str">
        <f aca="false">IF(A663="","",IF(AND(E663&lt;&gt;"33 確認済",E663&lt;&gt;"36 送付中"),1,0))</f>
        <v/>
      </c>
      <c r="AO663" s="7" t="str">
        <f aca="false">IF(A663="","",IF(AG663&lt;&gt;"",1,0))</f>
        <v/>
      </c>
    </row>
    <row r="664" customFormat="false" ht="15" hidden="false" customHeight="false" outlineLevel="0" collapsed="false">
      <c r="AL664" s="7" t="str">
        <f aca="false">IF(A664="","",IF(COUNTIF(A664:A$2001,A664)=1,1,0))</f>
        <v/>
      </c>
      <c r="AM664" s="7" t="str">
        <f aca="true">IF(I664="","",TODAY()-I664)</f>
        <v/>
      </c>
      <c r="AN664" s="7" t="str">
        <f aca="false">IF(A664="","",IF(AND(E664&lt;&gt;"33 確認済",E664&lt;&gt;"36 送付中"),1,0))</f>
        <v/>
      </c>
      <c r="AO664" s="7" t="str">
        <f aca="false">IF(A664="","",IF(AG664&lt;&gt;"",1,0))</f>
        <v/>
      </c>
    </row>
    <row r="665" customFormat="false" ht="15" hidden="false" customHeight="false" outlineLevel="0" collapsed="false">
      <c r="AL665" s="7" t="str">
        <f aca="false">IF(A665="","",IF(COUNTIF(A665:A$2001,A665)=1,1,0))</f>
        <v/>
      </c>
      <c r="AM665" s="7" t="str">
        <f aca="true">IF(I665="","",TODAY()-I665)</f>
        <v/>
      </c>
      <c r="AN665" s="7" t="str">
        <f aca="false">IF(A665="","",IF(AND(E665&lt;&gt;"33 確認済",E665&lt;&gt;"36 送付中"),1,0))</f>
        <v/>
      </c>
      <c r="AO665" s="7" t="str">
        <f aca="false">IF(A665="","",IF(AG665&lt;&gt;"",1,0))</f>
        <v/>
      </c>
    </row>
    <row r="666" customFormat="false" ht="15" hidden="false" customHeight="false" outlineLevel="0" collapsed="false">
      <c r="AL666" s="7" t="str">
        <f aca="false">IF(A666="","",IF(COUNTIF(A666:A$2001,A666)=1,1,0))</f>
        <v/>
      </c>
      <c r="AM666" s="7" t="str">
        <f aca="true">IF(I666="","",TODAY()-I666)</f>
        <v/>
      </c>
      <c r="AN666" s="7" t="str">
        <f aca="false">IF(A666="","",IF(AND(E666&lt;&gt;"33 確認済",E666&lt;&gt;"36 送付中"),1,0))</f>
        <v/>
      </c>
      <c r="AO666" s="7" t="str">
        <f aca="false">IF(A666="","",IF(AG666&lt;&gt;"",1,0))</f>
        <v/>
      </c>
    </row>
    <row r="667" customFormat="false" ht="15" hidden="false" customHeight="false" outlineLevel="0" collapsed="false">
      <c r="AL667" s="7" t="str">
        <f aca="false">IF(A667="","",IF(COUNTIF(A667:A$2001,A667)=1,1,0))</f>
        <v/>
      </c>
      <c r="AM667" s="7" t="str">
        <f aca="true">IF(I667="","",TODAY()-I667)</f>
        <v/>
      </c>
      <c r="AN667" s="7" t="str">
        <f aca="false">IF(A667="","",IF(AND(E667&lt;&gt;"33 確認済",E667&lt;&gt;"36 送付中"),1,0))</f>
        <v/>
      </c>
      <c r="AO667" s="7" t="str">
        <f aca="false">IF(A667="","",IF(AG667&lt;&gt;"",1,0))</f>
        <v/>
      </c>
    </row>
    <row r="668" customFormat="false" ht="15" hidden="false" customHeight="false" outlineLevel="0" collapsed="false">
      <c r="AL668" s="7" t="str">
        <f aca="false">IF(A668="","",IF(COUNTIF(A668:A$2001,A668)=1,1,0))</f>
        <v/>
      </c>
      <c r="AM668" s="7" t="str">
        <f aca="true">IF(I668="","",TODAY()-I668)</f>
        <v/>
      </c>
      <c r="AN668" s="7" t="str">
        <f aca="false">IF(A668="","",IF(AND(E668&lt;&gt;"33 確認済",E668&lt;&gt;"36 送付中"),1,0))</f>
        <v/>
      </c>
      <c r="AO668" s="7" t="str">
        <f aca="false">IF(A668="","",IF(AG668&lt;&gt;"",1,0))</f>
        <v/>
      </c>
    </row>
    <row r="669" customFormat="false" ht="15" hidden="false" customHeight="false" outlineLevel="0" collapsed="false">
      <c r="AL669" s="7" t="str">
        <f aca="false">IF(A669="","",IF(COUNTIF(A669:A$2001,A669)=1,1,0))</f>
        <v/>
      </c>
      <c r="AM669" s="7" t="str">
        <f aca="true">IF(I669="","",TODAY()-I669)</f>
        <v/>
      </c>
      <c r="AN669" s="7" t="str">
        <f aca="false">IF(A669="","",IF(AND(E669&lt;&gt;"33 確認済",E669&lt;&gt;"36 送付中"),1,0))</f>
        <v/>
      </c>
      <c r="AO669" s="7" t="str">
        <f aca="false">IF(A669="","",IF(AG669&lt;&gt;"",1,0))</f>
        <v/>
      </c>
    </row>
    <row r="670" customFormat="false" ht="15" hidden="false" customHeight="false" outlineLevel="0" collapsed="false">
      <c r="AL670" s="7" t="str">
        <f aca="false">IF(A670="","",IF(COUNTIF(A670:A$2001,A670)=1,1,0))</f>
        <v/>
      </c>
      <c r="AM670" s="7" t="str">
        <f aca="true">IF(I670="","",TODAY()-I670)</f>
        <v/>
      </c>
      <c r="AN670" s="7" t="str">
        <f aca="false">IF(A670="","",IF(AND(E670&lt;&gt;"33 確認済",E670&lt;&gt;"36 送付中"),1,0))</f>
        <v/>
      </c>
      <c r="AO670" s="7" t="str">
        <f aca="false">IF(A670="","",IF(AG670&lt;&gt;"",1,0))</f>
        <v/>
      </c>
    </row>
    <row r="671" customFormat="false" ht="15" hidden="false" customHeight="false" outlineLevel="0" collapsed="false">
      <c r="AL671" s="7" t="str">
        <f aca="false">IF(A671="","",IF(COUNTIF(A671:A$2001,A671)=1,1,0))</f>
        <v/>
      </c>
      <c r="AM671" s="7" t="str">
        <f aca="true">IF(I671="","",TODAY()-I671)</f>
        <v/>
      </c>
      <c r="AN671" s="7" t="str">
        <f aca="false">IF(A671="","",IF(AND(E671&lt;&gt;"33 確認済",E671&lt;&gt;"36 送付中"),1,0))</f>
        <v/>
      </c>
      <c r="AO671" s="7" t="str">
        <f aca="false">IF(A671="","",IF(AG671&lt;&gt;"",1,0))</f>
        <v/>
      </c>
    </row>
    <row r="672" customFormat="false" ht="15" hidden="false" customHeight="false" outlineLevel="0" collapsed="false">
      <c r="AL672" s="7" t="str">
        <f aca="false">IF(A672="","",IF(COUNTIF(A672:A$2001,A672)=1,1,0))</f>
        <v/>
      </c>
      <c r="AM672" s="7" t="str">
        <f aca="true">IF(I672="","",TODAY()-I672)</f>
        <v/>
      </c>
      <c r="AN672" s="7" t="str">
        <f aca="false">IF(A672="","",IF(AND(E672&lt;&gt;"33 確認済",E672&lt;&gt;"36 送付中"),1,0))</f>
        <v/>
      </c>
      <c r="AO672" s="7" t="str">
        <f aca="false">IF(A672="","",IF(AG672&lt;&gt;"",1,0))</f>
        <v/>
      </c>
    </row>
    <row r="673" customFormat="false" ht="15" hidden="false" customHeight="false" outlineLevel="0" collapsed="false">
      <c r="AL673" s="7" t="str">
        <f aca="false">IF(A673="","",IF(COUNTIF(A673:A$2001,A673)=1,1,0))</f>
        <v/>
      </c>
      <c r="AM673" s="7" t="str">
        <f aca="true">IF(I673="","",TODAY()-I673)</f>
        <v/>
      </c>
      <c r="AN673" s="7" t="str">
        <f aca="false">IF(A673="","",IF(AND(E673&lt;&gt;"33 確認済",E673&lt;&gt;"36 送付中"),1,0))</f>
        <v/>
      </c>
      <c r="AO673" s="7" t="str">
        <f aca="false">IF(A673="","",IF(AG673&lt;&gt;"",1,0))</f>
        <v/>
      </c>
    </row>
    <row r="674" customFormat="false" ht="15" hidden="false" customHeight="false" outlineLevel="0" collapsed="false">
      <c r="AL674" s="7" t="str">
        <f aca="false">IF(A674="","",IF(COUNTIF(A674:A$2001,A674)=1,1,0))</f>
        <v/>
      </c>
      <c r="AM674" s="7" t="str">
        <f aca="true">IF(I674="","",TODAY()-I674)</f>
        <v/>
      </c>
      <c r="AN674" s="7" t="str">
        <f aca="false">IF(A674="","",IF(AND(E674&lt;&gt;"33 確認済",E674&lt;&gt;"36 送付中"),1,0))</f>
        <v/>
      </c>
      <c r="AO674" s="7" t="str">
        <f aca="false">IF(A674="","",IF(AG674&lt;&gt;"",1,0))</f>
        <v/>
      </c>
    </row>
    <row r="675" customFormat="false" ht="15" hidden="false" customHeight="false" outlineLevel="0" collapsed="false">
      <c r="AL675" s="7" t="str">
        <f aca="false">IF(A675="","",IF(COUNTIF(A675:A$2001,A675)=1,1,0))</f>
        <v/>
      </c>
      <c r="AM675" s="7" t="str">
        <f aca="true">IF(I675="","",TODAY()-I675)</f>
        <v/>
      </c>
      <c r="AN675" s="7" t="str">
        <f aca="false">IF(A675="","",IF(AND(E675&lt;&gt;"33 確認済",E675&lt;&gt;"36 送付中"),1,0))</f>
        <v/>
      </c>
      <c r="AO675" s="7" t="str">
        <f aca="false">IF(A675="","",IF(AG675&lt;&gt;"",1,0))</f>
        <v/>
      </c>
    </row>
    <row r="676" customFormat="false" ht="15" hidden="false" customHeight="false" outlineLevel="0" collapsed="false">
      <c r="AL676" s="7" t="str">
        <f aca="false">IF(A676="","",IF(COUNTIF(A676:A$2001,A676)=1,1,0))</f>
        <v/>
      </c>
      <c r="AM676" s="7" t="str">
        <f aca="true">IF(I676="","",TODAY()-I676)</f>
        <v/>
      </c>
      <c r="AN676" s="7" t="str">
        <f aca="false">IF(A676="","",IF(AND(E676&lt;&gt;"33 確認済",E676&lt;&gt;"36 送付中"),1,0))</f>
        <v/>
      </c>
      <c r="AO676" s="7" t="str">
        <f aca="false">IF(A676="","",IF(AG676&lt;&gt;"",1,0))</f>
        <v/>
      </c>
    </row>
    <row r="677" customFormat="false" ht="15" hidden="false" customHeight="false" outlineLevel="0" collapsed="false">
      <c r="AL677" s="7" t="str">
        <f aca="false">IF(A677="","",IF(COUNTIF(A677:A$2001,A677)=1,1,0))</f>
        <v/>
      </c>
      <c r="AM677" s="7" t="str">
        <f aca="true">IF(I677="","",TODAY()-I677)</f>
        <v/>
      </c>
      <c r="AN677" s="7" t="str">
        <f aca="false">IF(A677="","",IF(AND(E677&lt;&gt;"33 確認済",E677&lt;&gt;"36 送付中"),1,0))</f>
        <v/>
      </c>
      <c r="AO677" s="7" t="str">
        <f aca="false">IF(A677="","",IF(AG677&lt;&gt;"",1,0))</f>
        <v/>
      </c>
    </row>
    <row r="678" customFormat="false" ht="15" hidden="false" customHeight="false" outlineLevel="0" collapsed="false">
      <c r="AL678" s="7" t="str">
        <f aca="false">IF(A678="","",IF(COUNTIF(A678:A$2001,A678)=1,1,0))</f>
        <v/>
      </c>
      <c r="AM678" s="7" t="str">
        <f aca="true">IF(I678="","",TODAY()-I678)</f>
        <v/>
      </c>
      <c r="AN678" s="7" t="str">
        <f aca="false">IF(A678="","",IF(AND(E678&lt;&gt;"33 確認済",E678&lt;&gt;"36 送付中"),1,0))</f>
        <v/>
      </c>
      <c r="AO678" s="7" t="str">
        <f aca="false">IF(A678="","",IF(AG678&lt;&gt;"",1,0))</f>
        <v/>
      </c>
    </row>
    <row r="679" customFormat="false" ht="15" hidden="false" customHeight="false" outlineLevel="0" collapsed="false">
      <c r="AL679" s="7" t="str">
        <f aca="false">IF(A679="","",IF(COUNTIF(A679:A$2001,A679)=1,1,0))</f>
        <v/>
      </c>
      <c r="AM679" s="7" t="str">
        <f aca="true">IF(I679="","",TODAY()-I679)</f>
        <v/>
      </c>
      <c r="AN679" s="7" t="str">
        <f aca="false">IF(A679="","",IF(AND(E679&lt;&gt;"33 確認済",E679&lt;&gt;"36 送付中"),1,0))</f>
        <v/>
      </c>
      <c r="AO679" s="7" t="str">
        <f aca="false">IF(A679="","",IF(AG679&lt;&gt;"",1,0))</f>
        <v/>
      </c>
    </row>
    <row r="680" customFormat="false" ht="15" hidden="false" customHeight="false" outlineLevel="0" collapsed="false">
      <c r="AL680" s="7" t="str">
        <f aca="false">IF(A680="","",IF(COUNTIF(A680:A$2001,A680)=1,1,0))</f>
        <v/>
      </c>
      <c r="AM680" s="7" t="str">
        <f aca="true">IF(I680="","",TODAY()-I680)</f>
        <v/>
      </c>
      <c r="AN680" s="7" t="str">
        <f aca="false">IF(A680="","",IF(AND(E680&lt;&gt;"33 確認済",E680&lt;&gt;"36 送付中"),1,0))</f>
        <v/>
      </c>
      <c r="AO680" s="7" t="str">
        <f aca="false">IF(A680="","",IF(AG680&lt;&gt;"",1,0))</f>
        <v/>
      </c>
    </row>
    <row r="681" customFormat="false" ht="15" hidden="false" customHeight="false" outlineLevel="0" collapsed="false">
      <c r="AL681" s="7" t="str">
        <f aca="false">IF(A681="","",IF(COUNTIF(A681:A$2001,A681)=1,1,0))</f>
        <v/>
      </c>
      <c r="AM681" s="7" t="str">
        <f aca="true">IF(I681="","",TODAY()-I681)</f>
        <v/>
      </c>
      <c r="AN681" s="7" t="str">
        <f aca="false">IF(A681="","",IF(AND(E681&lt;&gt;"33 確認済",E681&lt;&gt;"36 送付中"),1,0))</f>
        <v/>
      </c>
      <c r="AO681" s="7" t="str">
        <f aca="false">IF(A681="","",IF(AG681&lt;&gt;"",1,0))</f>
        <v/>
      </c>
    </row>
    <row r="682" customFormat="false" ht="15" hidden="false" customHeight="false" outlineLevel="0" collapsed="false">
      <c r="AL682" s="7" t="str">
        <f aca="false">IF(A682="","",IF(COUNTIF(A682:A$2001,A682)=1,1,0))</f>
        <v/>
      </c>
      <c r="AM682" s="7" t="str">
        <f aca="true">IF(I682="","",TODAY()-I682)</f>
        <v/>
      </c>
      <c r="AN682" s="7" t="str">
        <f aca="false">IF(A682="","",IF(AND(E682&lt;&gt;"33 確認済",E682&lt;&gt;"36 送付中"),1,0))</f>
        <v/>
      </c>
      <c r="AO682" s="7" t="str">
        <f aca="false">IF(A682="","",IF(AG682&lt;&gt;"",1,0))</f>
        <v/>
      </c>
    </row>
    <row r="683" customFormat="false" ht="15" hidden="false" customHeight="false" outlineLevel="0" collapsed="false">
      <c r="AL683" s="7" t="str">
        <f aca="false">IF(A683="","",IF(COUNTIF(A683:A$2001,A683)=1,1,0))</f>
        <v/>
      </c>
      <c r="AM683" s="7" t="str">
        <f aca="true">IF(I683="","",TODAY()-I683)</f>
        <v/>
      </c>
      <c r="AN683" s="7" t="str">
        <f aca="false">IF(A683="","",IF(AND(E683&lt;&gt;"33 確認済",E683&lt;&gt;"36 送付中"),1,0))</f>
        <v/>
      </c>
      <c r="AO683" s="7" t="str">
        <f aca="false">IF(A683="","",IF(AG683&lt;&gt;"",1,0))</f>
        <v/>
      </c>
    </row>
    <row r="684" customFormat="false" ht="15" hidden="false" customHeight="false" outlineLevel="0" collapsed="false">
      <c r="AL684" s="7" t="str">
        <f aca="false">IF(A684="","",IF(COUNTIF(A684:A$2001,A684)=1,1,0))</f>
        <v/>
      </c>
      <c r="AM684" s="7" t="str">
        <f aca="true">IF(I684="","",TODAY()-I684)</f>
        <v/>
      </c>
      <c r="AN684" s="7" t="str">
        <f aca="false">IF(A684="","",IF(AND(E684&lt;&gt;"33 確認済",E684&lt;&gt;"36 送付中"),1,0))</f>
        <v/>
      </c>
      <c r="AO684" s="7" t="str">
        <f aca="false">IF(A684="","",IF(AG684&lt;&gt;"",1,0))</f>
        <v/>
      </c>
    </row>
    <row r="685" customFormat="false" ht="15" hidden="false" customHeight="false" outlineLevel="0" collapsed="false">
      <c r="AL685" s="7" t="str">
        <f aca="false">IF(A685="","",IF(COUNTIF(A685:A$2001,A685)=1,1,0))</f>
        <v/>
      </c>
      <c r="AM685" s="7" t="str">
        <f aca="true">IF(I685="","",TODAY()-I685)</f>
        <v/>
      </c>
      <c r="AN685" s="7" t="str">
        <f aca="false">IF(A685="","",IF(AND(E685&lt;&gt;"33 確認済",E685&lt;&gt;"36 送付中"),1,0))</f>
        <v/>
      </c>
      <c r="AO685" s="7" t="str">
        <f aca="false">IF(A685="","",IF(AG685&lt;&gt;"",1,0))</f>
        <v/>
      </c>
    </row>
    <row r="686" customFormat="false" ht="15" hidden="false" customHeight="false" outlineLevel="0" collapsed="false">
      <c r="AL686" s="7" t="str">
        <f aca="false">IF(A686="","",IF(COUNTIF(A686:A$2001,A686)=1,1,0))</f>
        <v/>
      </c>
      <c r="AM686" s="7" t="str">
        <f aca="true">IF(I686="","",TODAY()-I686)</f>
        <v/>
      </c>
      <c r="AN686" s="7" t="str">
        <f aca="false">IF(A686="","",IF(AND(E686&lt;&gt;"33 確認済",E686&lt;&gt;"36 送付中"),1,0))</f>
        <v/>
      </c>
      <c r="AO686" s="7" t="str">
        <f aca="false">IF(A686="","",IF(AG686&lt;&gt;"",1,0))</f>
        <v/>
      </c>
    </row>
    <row r="687" customFormat="false" ht="15" hidden="false" customHeight="false" outlineLevel="0" collapsed="false">
      <c r="AL687" s="7" t="str">
        <f aca="false">IF(A687="","",IF(COUNTIF(A687:A$2001,A687)=1,1,0))</f>
        <v/>
      </c>
      <c r="AM687" s="7" t="str">
        <f aca="true">IF(I687="","",TODAY()-I687)</f>
        <v/>
      </c>
      <c r="AN687" s="7" t="str">
        <f aca="false">IF(A687="","",IF(AND(E687&lt;&gt;"33 確認済",E687&lt;&gt;"36 送付中"),1,0))</f>
        <v/>
      </c>
      <c r="AO687" s="7" t="str">
        <f aca="false">IF(A687="","",IF(AG687&lt;&gt;"",1,0))</f>
        <v/>
      </c>
    </row>
    <row r="688" customFormat="false" ht="15" hidden="false" customHeight="false" outlineLevel="0" collapsed="false">
      <c r="AL688" s="7" t="str">
        <f aca="false">IF(A688="","",IF(COUNTIF(A688:A$2001,A688)=1,1,0))</f>
        <v/>
      </c>
      <c r="AM688" s="7" t="str">
        <f aca="true">IF(I688="","",TODAY()-I688)</f>
        <v/>
      </c>
      <c r="AN688" s="7" t="str">
        <f aca="false">IF(A688="","",IF(AND(E688&lt;&gt;"33 確認済",E688&lt;&gt;"36 送付中"),1,0))</f>
        <v/>
      </c>
      <c r="AO688" s="7" t="str">
        <f aca="false">IF(A688="","",IF(AG688&lt;&gt;"",1,0))</f>
        <v/>
      </c>
    </row>
    <row r="689" customFormat="false" ht="15" hidden="false" customHeight="false" outlineLevel="0" collapsed="false">
      <c r="AL689" s="7" t="str">
        <f aca="false">IF(A689="","",IF(COUNTIF(A689:A$2001,A689)=1,1,0))</f>
        <v/>
      </c>
      <c r="AM689" s="7" t="str">
        <f aca="true">IF(I689="","",TODAY()-I689)</f>
        <v/>
      </c>
      <c r="AN689" s="7" t="str">
        <f aca="false">IF(A689="","",IF(AND(E689&lt;&gt;"33 確認済",E689&lt;&gt;"36 送付中"),1,0))</f>
        <v/>
      </c>
      <c r="AO689" s="7" t="str">
        <f aca="false">IF(A689="","",IF(AG689&lt;&gt;"",1,0))</f>
        <v/>
      </c>
    </row>
    <row r="690" customFormat="false" ht="15" hidden="false" customHeight="false" outlineLevel="0" collapsed="false">
      <c r="AL690" s="7" t="str">
        <f aca="false">IF(A690="","",IF(COUNTIF(A690:A$2001,A690)=1,1,0))</f>
        <v/>
      </c>
      <c r="AM690" s="7" t="str">
        <f aca="true">IF(I690="","",TODAY()-I690)</f>
        <v/>
      </c>
      <c r="AN690" s="7" t="str">
        <f aca="false">IF(A690="","",IF(AND(E690&lt;&gt;"33 確認済",E690&lt;&gt;"36 送付中"),1,0))</f>
        <v/>
      </c>
      <c r="AO690" s="7" t="str">
        <f aca="false">IF(A690="","",IF(AG690&lt;&gt;"",1,0))</f>
        <v/>
      </c>
    </row>
    <row r="691" customFormat="false" ht="15" hidden="false" customHeight="false" outlineLevel="0" collapsed="false">
      <c r="AL691" s="7" t="str">
        <f aca="false">IF(A691="","",IF(COUNTIF(A691:A$2001,A691)=1,1,0))</f>
        <v/>
      </c>
      <c r="AM691" s="7" t="str">
        <f aca="true">IF(I691="","",TODAY()-I691)</f>
        <v/>
      </c>
      <c r="AN691" s="7" t="str">
        <f aca="false">IF(A691="","",IF(AND(E691&lt;&gt;"33 確認済",E691&lt;&gt;"36 送付中"),1,0))</f>
        <v/>
      </c>
      <c r="AO691" s="7" t="str">
        <f aca="false">IF(A691="","",IF(AG691&lt;&gt;"",1,0))</f>
        <v/>
      </c>
    </row>
    <row r="692" customFormat="false" ht="15" hidden="false" customHeight="false" outlineLevel="0" collapsed="false">
      <c r="AL692" s="7" t="str">
        <f aca="false">IF(A692="","",IF(COUNTIF(A692:A$2001,A692)=1,1,0))</f>
        <v/>
      </c>
      <c r="AM692" s="7" t="str">
        <f aca="true">IF(I692="","",TODAY()-I692)</f>
        <v/>
      </c>
      <c r="AN692" s="7" t="str">
        <f aca="false">IF(A692="","",IF(AND(E692&lt;&gt;"33 確認済",E692&lt;&gt;"36 送付中"),1,0))</f>
        <v/>
      </c>
      <c r="AO692" s="7" t="str">
        <f aca="false">IF(A692="","",IF(AG692&lt;&gt;"",1,0))</f>
        <v/>
      </c>
    </row>
    <row r="693" customFormat="false" ht="15" hidden="false" customHeight="false" outlineLevel="0" collapsed="false">
      <c r="AL693" s="7" t="str">
        <f aca="false">IF(A693="","",IF(COUNTIF(A693:A$2001,A693)=1,1,0))</f>
        <v/>
      </c>
      <c r="AM693" s="7" t="str">
        <f aca="true">IF(I693="","",TODAY()-I693)</f>
        <v/>
      </c>
      <c r="AN693" s="7" t="str">
        <f aca="false">IF(A693="","",IF(AND(E693&lt;&gt;"33 確認済",E693&lt;&gt;"36 送付中"),1,0))</f>
        <v/>
      </c>
      <c r="AO693" s="7" t="str">
        <f aca="false">IF(A693="","",IF(AG693&lt;&gt;"",1,0))</f>
        <v/>
      </c>
    </row>
    <row r="694" customFormat="false" ht="15" hidden="false" customHeight="false" outlineLevel="0" collapsed="false">
      <c r="AL694" s="7" t="str">
        <f aca="false">IF(A694="","",IF(COUNTIF(A694:A$2001,A694)=1,1,0))</f>
        <v/>
      </c>
      <c r="AM694" s="7" t="str">
        <f aca="true">IF(I694="","",TODAY()-I694)</f>
        <v/>
      </c>
      <c r="AN694" s="7" t="str">
        <f aca="false">IF(A694="","",IF(AND(E694&lt;&gt;"33 確認済",E694&lt;&gt;"36 送付中"),1,0))</f>
        <v/>
      </c>
      <c r="AO694" s="7" t="str">
        <f aca="false">IF(A694="","",IF(AG694&lt;&gt;"",1,0))</f>
        <v/>
      </c>
    </row>
    <row r="695" customFormat="false" ht="15" hidden="false" customHeight="false" outlineLevel="0" collapsed="false">
      <c r="AL695" s="7" t="str">
        <f aca="false">IF(A695="","",IF(COUNTIF(A695:A$2001,A695)=1,1,0))</f>
        <v/>
      </c>
      <c r="AM695" s="7" t="str">
        <f aca="true">IF(I695="","",TODAY()-I695)</f>
        <v/>
      </c>
      <c r="AN695" s="7" t="str">
        <f aca="false">IF(A695="","",IF(AND(E695&lt;&gt;"33 確認済",E695&lt;&gt;"36 送付中"),1,0))</f>
        <v/>
      </c>
      <c r="AO695" s="7" t="str">
        <f aca="false">IF(A695="","",IF(AG695&lt;&gt;"",1,0))</f>
        <v/>
      </c>
    </row>
    <row r="696" customFormat="false" ht="15" hidden="false" customHeight="false" outlineLevel="0" collapsed="false">
      <c r="AL696" s="7" t="str">
        <f aca="false">IF(A696="","",IF(COUNTIF(A696:A$2001,A696)=1,1,0))</f>
        <v/>
      </c>
      <c r="AM696" s="7" t="str">
        <f aca="true">IF(I696="","",TODAY()-I696)</f>
        <v/>
      </c>
      <c r="AN696" s="7" t="str">
        <f aca="false">IF(A696="","",IF(AND(E696&lt;&gt;"33 確認済",E696&lt;&gt;"36 送付中"),1,0))</f>
        <v/>
      </c>
      <c r="AO696" s="7" t="str">
        <f aca="false">IF(A696="","",IF(AG696&lt;&gt;"",1,0))</f>
        <v/>
      </c>
    </row>
    <row r="697" customFormat="false" ht="15" hidden="false" customHeight="false" outlineLevel="0" collapsed="false">
      <c r="AL697" s="7" t="str">
        <f aca="false">IF(A697="","",IF(COUNTIF(A697:A$2001,A697)=1,1,0))</f>
        <v/>
      </c>
      <c r="AM697" s="7" t="str">
        <f aca="true">IF(I697="","",TODAY()-I697)</f>
        <v/>
      </c>
      <c r="AN697" s="7" t="str">
        <f aca="false">IF(A697="","",IF(AND(E697&lt;&gt;"33 確認済",E697&lt;&gt;"36 送付中"),1,0))</f>
        <v/>
      </c>
      <c r="AO697" s="7" t="str">
        <f aca="false">IF(A697="","",IF(AG697&lt;&gt;"",1,0))</f>
        <v/>
      </c>
    </row>
    <row r="698" customFormat="false" ht="15" hidden="false" customHeight="false" outlineLevel="0" collapsed="false">
      <c r="AL698" s="7" t="str">
        <f aca="false">IF(A698="","",IF(COUNTIF(A698:A$2001,A698)=1,1,0))</f>
        <v/>
      </c>
      <c r="AM698" s="7" t="str">
        <f aca="true">IF(I698="","",TODAY()-I698)</f>
        <v/>
      </c>
      <c r="AN698" s="7" t="str">
        <f aca="false">IF(A698="","",IF(AND(E698&lt;&gt;"33 確認済",E698&lt;&gt;"36 送付中"),1,0))</f>
        <v/>
      </c>
      <c r="AO698" s="7" t="str">
        <f aca="false">IF(A698="","",IF(AG698&lt;&gt;"",1,0))</f>
        <v/>
      </c>
    </row>
    <row r="699" customFormat="false" ht="15" hidden="false" customHeight="false" outlineLevel="0" collapsed="false">
      <c r="AL699" s="7" t="str">
        <f aca="false">IF(A699="","",IF(COUNTIF(A699:A$2001,A699)=1,1,0))</f>
        <v/>
      </c>
      <c r="AM699" s="7" t="str">
        <f aca="true">IF(I699="","",TODAY()-I699)</f>
        <v/>
      </c>
      <c r="AN699" s="7" t="str">
        <f aca="false">IF(A699="","",IF(AND(E699&lt;&gt;"33 確認済",E699&lt;&gt;"36 送付中"),1,0))</f>
        <v/>
      </c>
      <c r="AO699" s="7" t="str">
        <f aca="false">IF(A699="","",IF(AG699&lt;&gt;"",1,0))</f>
        <v/>
      </c>
    </row>
    <row r="700" customFormat="false" ht="15" hidden="false" customHeight="false" outlineLevel="0" collapsed="false">
      <c r="AL700" s="7" t="str">
        <f aca="false">IF(A700="","",IF(COUNTIF(A700:A$2001,A700)=1,1,0))</f>
        <v/>
      </c>
      <c r="AM700" s="7" t="str">
        <f aca="true">IF(I700="","",TODAY()-I700)</f>
        <v/>
      </c>
      <c r="AN700" s="7" t="str">
        <f aca="false">IF(A700="","",IF(AND(E700&lt;&gt;"33 確認済",E700&lt;&gt;"36 送付中"),1,0))</f>
        <v/>
      </c>
      <c r="AO700" s="7" t="str">
        <f aca="false">IF(A700="","",IF(AG700&lt;&gt;"",1,0))</f>
        <v/>
      </c>
    </row>
    <row r="701" customFormat="false" ht="15" hidden="false" customHeight="false" outlineLevel="0" collapsed="false">
      <c r="AL701" s="7" t="str">
        <f aca="false">IF(A701="","",IF(COUNTIF(A701:A$2001,A701)=1,1,0))</f>
        <v/>
      </c>
      <c r="AM701" s="7" t="str">
        <f aca="true">IF(I701="","",TODAY()-I701)</f>
        <v/>
      </c>
      <c r="AN701" s="7" t="str">
        <f aca="false">IF(A701="","",IF(AND(E701&lt;&gt;"33 確認済",E701&lt;&gt;"36 送付中"),1,0))</f>
        <v/>
      </c>
      <c r="AO701" s="7" t="str">
        <f aca="false">IF(A701="","",IF(AG701&lt;&gt;"",1,0))</f>
        <v/>
      </c>
    </row>
    <row r="702" customFormat="false" ht="15" hidden="false" customHeight="false" outlineLevel="0" collapsed="false">
      <c r="AL702" s="7" t="str">
        <f aca="false">IF(A702="","",IF(COUNTIF(A702:A$2001,A702)=1,1,0))</f>
        <v/>
      </c>
      <c r="AM702" s="7" t="str">
        <f aca="true">IF(I702="","",TODAY()-I702)</f>
        <v/>
      </c>
      <c r="AN702" s="7" t="str">
        <f aca="false">IF(A702="","",IF(AND(E702&lt;&gt;"33 確認済",E702&lt;&gt;"36 送付中"),1,0))</f>
        <v/>
      </c>
      <c r="AO702" s="7" t="str">
        <f aca="false">IF(A702="","",IF(AG702&lt;&gt;"",1,0))</f>
        <v/>
      </c>
    </row>
    <row r="703" customFormat="false" ht="15" hidden="false" customHeight="false" outlineLevel="0" collapsed="false">
      <c r="AL703" s="7" t="str">
        <f aca="false">IF(A703="","",IF(COUNTIF(A703:A$2001,A703)=1,1,0))</f>
        <v/>
      </c>
      <c r="AM703" s="7" t="str">
        <f aca="true">IF(I703="","",TODAY()-I703)</f>
        <v/>
      </c>
      <c r="AN703" s="7" t="str">
        <f aca="false">IF(A703="","",IF(AND(E703&lt;&gt;"33 確認済",E703&lt;&gt;"36 送付中"),1,0))</f>
        <v/>
      </c>
      <c r="AO703" s="7" t="str">
        <f aca="false">IF(A703="","",IF(AG703&lt;&gt;"",1,0))</f>
        <v/>
      </c>
    </row>
    <row r="704" customFormat="false" ht="15" hidden="false" customHeight="false" outlineLevel="0" collapsed="false">
      <c r="AL704" s="7" t="str">
        <f aca="false">IF(A704="","",IF(COUNTIF(A704:A$2001,A704)=1,1,0))</f>
        <v/>
      </c>
      <c r="AM704" s="7" t="str">
        <f aca="true">IF(I704="","",TODAY()-I704)</f>
        <v/>
      </c>
      <c r="AN704" s="7" t="str">
        <f aca="false">IF(A704="","",IF(AND(E704&lt;&gt;"33 確認済",E704&lt;&gt;"36 送付中"),1,0))</f>
        <v/>
      </c>
      <c r="AO704" s="7" t="str">
        <f aca="false">IF(A704="","",IF(AG704&lt;&gt;"",1,0))</f>
        <v/>
      </c>
    </row>
    <row r="705" customFormat="false" ht="15" hidden="false" customHeight="false" outlineLevel="0" collapsed="false">
      <c r="AL705" s="7" t="str">
        <f aca="false">IF(A705="","",IF(COUNTIF(A705:A$2001,A705)=1,1,0))</f>
        <v/>
      </c>
      <c r="AM705" s="7" t="str">
        <f aca="true">IF(I705="","",TODAY()-I705)</f>
        <v/>
      </c>
      <c r="AN705" s="7" t="str">
        <f aca="false">IF(A705="","",IF(AND(E705&lt;&gt;"33 確認済",E705&lt;&gt;"36 送付中"),1,0))</f>
        <v/>
      </c>
      <c r="AO705" s="7" t="str">
        <f aca="false">IF(A705="","",IF(AG705&lt;&gt;"",1,0))</f>
        <v/>
      </c>
    </row>
    <row r="706" customFormat="false" ht="15" hidden="false" customHeight="false" outlineLevel="0" collapsed="false">
      <c r="AL706" s="7" t="str">
        <f aca="false">IF(A706="","",IF(COUNTIF(A706:A$2001,A706)=1,1,0))</f>
        <v/>
      </c>
      <c r="AM706" s="7" t="str">
        <f aca="true">IF(I706="","",TODAY()-I706)</f>
        <v/>
      </c>
      <c r="AN706" s="7" t="str">
        <f aca="false">IF(A706="","",IF(AND(E706&lt;&gt;"33 確認済",E706&lt;&gt;"36 送付中"),1,0))</f>
        <v/>
      </c>
      <c r="AO706" s="7" t="str">
        <f aca="false">IF(A706="","",IF(AG706&lt;&gt;"",1,0))</f>
        <v/>
      </c>
    </row>
    <row r="707" customFormat="false" ht="15" hidden="false" customHeight="false" outlineLevel="0" collapsed="false">
      <c r="AL707" s="7" t="str">
        <f aca="false">IF(A707="","",IF(COUNTIF(A707:A$2001,A707)=1,1,0))</f>
        <v/>
      </c>
      <c r="AM707" s="7" t="str">
        <f aca="true">IF(I707="","",TODAY()-I707)</f>
        <v/>
      </c>
      <c r="AN707" s="7" t="str">
        <f aca="false">IF(A707="","",IF(AND(E707&lt;&gt;"33 確認済",E707&lt;&gt;"36 送付中"),1,0))</f>
        <v/>
      </c>
      <c r="AO707" s="7" t="str">
        <f aca="false">IF(A707="","",IF(AG707&lt;&gt;"",1,0))</f>
        <v/>
      </c>
    </row>
    <row r="708" customFormat="false" ht="15" hidden="false" customHeight="false" outlineLevel="0" collapsed="false">
      <c r="AL708" s="7" t="str">
        <f aca="false">IF(A708="","",IF(COUNTIF(A708:A$2001,A708)=1,1,0))</f>
        <v/>
      </c>
      <c r="AM708" s="7" t="str">
        <f aca="true">IF(I708="","",TODAY()-I708)</f>
        <v/>
      </c>
      <c r="AN708" s="7" t="str">
        <f aca="false">IF(A708="","",IF(AND(E708&lt;&gt;"33 確認済",E708&lt;&gt;"36 送付中"),1,0))</f>
        <v/>
      </c>
      <c r="AO708" s="7" t="str">
        <f aca="false">IF(A708="","",IF(AG708&lt;&gt;"",1,0))</f>
        <v/>
      </c>
    </row>
    <row r="709" customFormat="false" ht="15" hidden="false" customHeight="false" outlineLevel="0" collapsed="false">
      <c r="AL709" s="7" t="str">
        <f aca="false">IF(A709="","",IF(COUNTIF(A709:A$2001,A709)=1,1,0))</f>
        <v/>
      </c>
      <c r="AM709" s="7" t="str">
        <f aca="true">IF(I709="","",TODAY()-I709)</f>
        <v/>
      </c>
      <c r="AN709" s="7" t="str">
        <f aca="false">IF(A709="","",IF(AND(E709&lt;&gt;"33 確認済",E709&lt;&gt;"36 送付中"),1,0))</f>
        <v/>
      </c>
      <c r="AO709" s="7" t="str">
        <f aca="false">IF(A709="","",IF(AG709&lt;&gt;"",1,0))</f>
        <v/>
      </c>
    </row>
    <row r="710" customFormat="false" ht="15" hidden="false" customHeight="false" outlineLevel="0" collapsed="false">
      <c r="AL710" s="7" t="str">
        <f aca="false">IF(A710="","",IF(COUNTIF(A710:A$2001,A710)=1,1,0))</f>
        <v/>
      </c>
      <c r="AM710" s="7" t="str">
        <f aca="true">IF(I710="","",TODAY()-I710)</f>
        <v/>
      </c>
      <c r="AN710" s="7" t="str">
        <f aca="false">IF(A710="","",IF(AND(E710&lt;&gt;"33 確認済",E710&lt;&gt;"36 送付中"),1,0))</f>
        <v/>
      </c>
      <c r="AO710" s="7" t="str">
        <f aca="false">IF(A710="","",IF(AG710&lt;&gt;"",1,0))</f>
        <v/>
      </c>
    </row>
    <row r="711" customFormat="false" ht="15" hidden="false" customHeight="false" outlineLevel="0" collapsed="false">
      <c r="AL711" s="7" t="str">
        <f aca="false">IF(A711="","",IF(COUNTIF(A711:A$2001,A711)=1,1,0))</f>
        <v/>
      </c>
      <c r="AM711" s="7" t="str">
        <f aca="true">IF(I711="","",TODAY()-I711)</f>
        <v/>
      </c>
      <c r="AN711" s="7" t="str">
        <f aca="false">IF(A711="","",IF(AND(E711&lt;&gt;"33 確認済",E711&lt;&gt;"36 送付中"),1,0))</f>
        <v/>
      </c>
      <c r="AO711" s="7" t="str">
        <f aca="false">IF(A711="","",IF(AG711&lt;&gt;"",1,0))</f>
        <v/>
      </c>
    </row>
    <row r="712" customFormat="false" ht="15" hidden="false" customHeight="false" outlineLevel="0" collapsed="false">
      <c r="AL712" s="7" t="str">
        <f aca="false">IF(A712="","",IF(COUNTIF(A712:A$2001,A712)=1,1,0))</f>
        <v/>
      </c>
      <c r="AM712" s="7" t="str">
        <f aca="true">IF(I712="","",TODAY()-I712)</f>
        <v/>
      </c>
      <c r="AN712" s="7" t="str">
        <f aca="false">IF(A712="","",IF(AND(E712&lt;&gt;"33 確認済",E712&lt;&gt;"36 送付中"),1,0))</f>
        <v/>
      </c>
      <c r="AO712" s="7" t="str">
        <f aca="false">IF(A712="","",IF(AG712&lt;&gt;"",1,0))</f>
        <v/>
      </c>
    </row>
    <row r="713" customFormat="false" ht="15" hidden="false" customHeight="false" outlineLevel="0" collapsed="false">
      <c r="AL713" s="7" t="str">
        <f aca="false">IF(A713="","",IF(COUNTIF(A713:A$2001,A713)=1,1,0))</f>
        <v/>
      </c>
      <c r="AM713" s="7" t="str">
        <f aca="true">IF(I713="","",TODAY()-I713)</f>
        <v/>
      </c>
      <c r="AN713" s="7" t="str">
        <f aca="false">IF(A713="","",IF(AND(E713&lt;&gt;"33 確認済",E713&lt;&gt;"36 送付中"),1,0))</f>
        <v/>
      </c>
      <c r="AO713" s="7" t="str">
        <f aca="false">IF(A713="","",IF(AG713&lt;&gt;"",1,0))</f>
        <v/>
      </c>
    </row>
    <row r="714" customFormat="false" ht="15" hidden="false" customHeight="false" outlineLevel="0" collapsed="false">
      <c r="AL714" s="7" t="str">
        <f aca="false">IF(A714="","",IF(COUNTIF(A714:A$2001,A714)=1,1,0))</f>
        <v/>
      </c>
      <c r="AM714" s="7" t="str">
        <f aca="true">IF(I714="","",TODAY()-I714)</f>
        <v/>
      </c>
      <c r="AN714" s="7" t="str">
        <f aca="false">IF(A714="","",IF(AND(E714&lt;&gt;"33 確認済",E714&lt;&gt;"36 送付中"),1,0))</f>
        <v/>
      </c>
      <c r="AO714" s="7" t="str">
        <f aca="false">IF(A714="","",IF(AG714&lt;&gt;"",1,0))</f>
        <v/>
      </c>
    </row>
    <row r="715" customFormat="false" ht="15" hidden="false" customHeight="false" outlineLevel="0" collapsed="false">
      <c r="AL715" s="7" t="str">
        <f aca="false">IF(A715="","",IF(COUNTIF(A715:A$2001,A715)=1,1,0))</f>
        <v/>
      </c>
      <c r="AM715" s="7" t="str">
        <f aca="true">IF(I715="","",TODAY()-I715)</f>
        <v/>
      </c>
      <c r="AN715" s="7" t="str">
        <f aca="false">IF(A715="","",IF(AND(E715&lt;&gt;"33 確認済",E715&lt;&gt;"36 送付中"),1,0))</f>
        <v/>
      </c>
      <c r="AO715" s="7" t="str">
        <f aca="false">IF(A715="","",IF(AG715&lt;&gt;"",1,0))</f>
        <v/>
      </c>
    </row>
    <row r="716" customFormat="false" ht="15" hidden="false" customHeight="false" outlineLevel="0" collapsed="false">
      <c r="AL716" s="7" t="str">
        <f aca="false">IF(A716="","",IF(COUNTIF(A716:A$2001,A716)=1,1,0))</f>
        <v/>
      </c>
      <c r="AM716" s="7" t="str">
        <f aca="true">IF(I716="","",TODAY()-I716)</f>
        <v/>
      </c>
      <c r="AN716" s="7" t="str">
        <f aca="false">IF(A716="","",IF(AND(E716&lt;&gt;"33 確認済",E716&lt;&gt;"36 送付中"),1,0))</f>
        <v/>
      </c>
      <c r="AO716" s="7" t="str">
        <f aca="false">IF(A716="","",IF(AG716&lt;&gt;"",1,0))</f>
        <v/>
      </c>
    </row>
    <row r="717" customFormat="false" ht="15" hidden="false" customHeight="false" outlineLevel="0" collapsed="false">
      <c r="AL717" s="7" t="str">
        <f aca="false">IF(A717="","",IF(COUNTIF(A717:A$2001,A717)=1,1,0))</f>
        <v/>
      </c>
      <c r="AM717" s="7" t="str">
        <f aca="true">IF(I717="","",TODAY()-I717)</f>
        <v/>
      </c>
      <c r="AN717" s="7" t="str">
        <f aca="false">IF(A717="","",IF(AND(E717&lt;&gt;"33 確認済",E717&lt;&gt;"36 送付中"),1,0))</f>
        <v/>
      </c>
      <c r="AO717" s="7" t="str">
        <f aca="false">IF(A717="","",IF(AG717&lt;&gt;"",1,0))</f>
        <v/>
      </c>
    </row>
    <row r="718" customFormat="false" ht="15" hidden="false" customHeight="false" outlineLevel="0" collapsed="false">
      <c r="AL718" s="7" t="str">
        <f aca="false">IF(A718="","",IF(COUNTIF(A718:A$2001,A718)=1,1,0))</f>
        <v/>
      </c>
      <c r="AM718" s="7" t="str">
        <f aca="true">IF(I718="","",TODAY()-I718)</f>
        <v/>
      </c>
      <c r="AN718" s="7" t="str">
        <f aca="false">IF(A718="","",IF(AND(E718&lt;&gt;"33 確認済",E718&lt;&gt;"36 送付中"),1,0))</f>
        <v/>
      </c>
      <c r="AO718" s="7" t="str">
        <f aca="false">IF(A718="","",IF(AG718&lt;&gt;"",1,0))</f>
        <v/>
      </c>
    </row>
    <row r="719" customFormat="false" ht="15" hidden="false" customHeight="false" outlineLevel="0" collapsed="false">
      <c r="AL719" s="7" t="str">
        <f aca="false">IF(A719="","",IF(COUNTIF(A719:A$2001,A719)=1,1,0))</f>
        <v/>
      </c>
      <c r="AM719" s="7" t="str">
        <f aca="true">IF(I719="","",TODAY()-I719)</f>
        <v/>
      </c>
      <c r="AN719" s="7" t="str">
        <f aca="false">IF(A719="","",IF(AND(E719&lt;&gt;"33 確認済",E719&lt;&gt;"36 送付中"),1,0))</f>
        <v/>
      </c>
      <c r="AO719" s="7" t="str">
        <f aca="false">IF(A719="","",IF(AG719&lt;&gt;"",1,0))</f>
        <v/>
      </c>
    </row>
    <row r="720" customFormat="false" ht="15" hidden="false" customHeight="false" outlineLevel="0" collapsed="false">
      <c r="AL720" s="7" t="str">
        <f aca="false">IF(A720="","",IF(COUNTIF(A720:A$2001,A720)=1,1,0))</f>
        <v/>
      </c>
      <c r="AM720" s="7" t="str">
        <f aca="true">IF(I720="","",TODAY()-I720)</f>
        <v/>
      </c>
      <c r="AN720" s="7" t="str">
        <f aca="false">IF(A720="","",IF(AND(E720&lt;&gt;"33 確認済",E720&lt;&gt;"36 送付中"),1,0))</f>
        <v/>
      </c>
      <c r="AO720" s="7" t="str">
        <f aca="false">IF(A720="","",IF(AG720&lt;&gt;"",1,0))</f>
        <v/>
      </c>
    </row>
    <row r="721" customFormat="false" ht="15" hidden="false" customHeight="false" outlineLevel="0" collapsed="false">
      <c r="AL721" s="7" t="str">
        <f aca="false">IF(A721="","",IF(COUNTIF(A721:A$2001,A721)=1,1,0))</f>
        <v/>
      </c>
      <c r="AM721" s="7" t="str">
        <f aca="true">IF(I721="","",TODAY()-I721)</f>
        <v/>
      </c>
      <c r="AN721" s="7" t="str">
        <f aca="false">IF(A721="","",IF(AND(E721&lt;&gt;"33 確認済",E721&lt;&gt;"36 送付中"),1,0))</f>
        <v/>
      </c>
      <c r="AO721" s="7" t="str">
        <f aca="false">IF(A721="","",IF(AG721&lt;&gt;"",1,0))</f>
        <v/>
      </c>
    </row>
    <row r="722" customFormat="false" ht="15" hidden="false" customHeight="false" outlineLevel="0" collapsed="false">
      <c r="AL722" s="7" t="str">
        <f aca="false">IF(A722="","",IF(COUNTIF(A722:A$2001,A722)=1,1,0))</f>
        <v/>
      </c>
      <c r="AM722" s="7" t="str">
        <f aca="true">IF(I722="","",TODAY()-I722)</f>
        <v/>
      </c>
      <c r="AN722" s="7" t="str">
        <f aca="false">IF(A722="","",IF(AND(E722&lt;&gt;"33 確認済",E722&lt;&gt;"36 送付中"),1,0))</f>
        <v/>
      </c>
      <c r="AO722" s="7" t="str">
        <f aca="false">IF(A722="","",IF(AG722&lt;&gt;"",1,0))</f>
        <v/>
      </c>
    </row>
    <row r="723" customFormat="false" ht="15" hidden="false" customHeight="false" outlineLevel="0" collapsed="false">
      <c r="AL723" s="7" t="str">
        <f aca="false">IF(A723="","",IF(COUNTIF(A723:A$2001,A723)=1,1,0))</f>
        <v/>
      </c>
      <c r="AM723" s="7" t="str">
        <f aca="true">IF(I723="","",TODAY()-I723)</f>
        <v/>
      </c>
      <c r="AN723" s="7" t="str">
        <f aca="false">IF(A723="","",IF(AND(E723&lt;&gt;"33 確認済",E723&lt;&gt;"36 送付中"),1,0))</f>
        <v/>
      </c>
      <c r="AO723" s="7" t="str">
        <f aca="false">IF(A723="","",IF(AG723&lt;&gt;"",1,0))</f>
        <v/>
      </c>
    </row>
    <row r="724" customFormat="false" ht="15" hidden="false" customHeight="false" outlineLevel="0" collapsed="false">
      <c r="AL724" s="7" t="str">
        <f aca="false">IF(A724="","",IF(COUNTIF(A724:A$2001,A724)=1,1,0))</f>
        <v/>
      </c>
      <c r="AM724" s="7" t="str">
        <f aca="true">IF(I724="","",TODAY()-I724)</f>
        <v/>
      </c>
      <c r="AN724" s="7" t="str">
        <f aca="false">IF(A724="","",IF(AND(E724&lt;&gt;"33 確認済",E724&lt;&gt;"36 送付中"),1,0))</f>
        <v/>
      </c>
      <c r="AO724" s="7" t="str">
        <f aca="false">IF(A724="","",IF(AG724&lt;&gt;"",1,0))</f>
        <v/>
      </c>
    </row>
    <row r="725" customFormat="false" ht="15" hidden="false" customHeight="false" outlineLevel="0" collapsed="false">
      <c r="AL725" s="7" t="str">
        <f aca="false">IF(A725="","",IF(COUNTIF(A725:A$2001,A725)=1,1,0))</f>
        <v/>
      </c>
      <c r="AM725" s="7" t="str">
        <f aca="true">IF(I725="","",TODAY()-I725)</f>
        <v/>
      </c>
      <c r="AN725" s="7" t="str">
        <f aca="false">IF(A725="","",IF(AND(E725&lt;&gt;"33 確認済",E725&lt;&gt;"36 送付中"),1,0))</f>
        <v/>
      </c>
      <c r="AO725" s="7" t="str">
        <f aca="false">IF(A725="","",IF(AG725&lt;&gt;"",1,0))</f>
        <v/>
      </c>
    </row>
    <row r="726" customFormat="false" ht="15" hidden="false" customHeight="false" outlineLevel="0" collapsed="false">
      <c r="AL726" s="7" t="str">
        <f aca="false">IF(A726="","",IF(COUNTIF(A726:A$2001,A726)=1,1,0))</f>
        <v/>
      </c>
      <c r="AM726" s="7" t="str">
        <f aca="true">IF(I726="","",TODAY()-I726)</f>
        <v/>
      </c>
      <c r="AN726" s="7" t="str">
        <f aca="false">IF(A726="","",IF(AND(E726&lt;&gt;"33 確認済",E726&lt;&gt;"36 送付中"),1,0))</f>
        <v/>
      </c>
      <c r="AO726" s="7" t="str">
        <f aca="false">IF(A726="","",IF(AG726&lt;&gt;"",1,0))</f>
        <v/>
      </c>
    </row>
    <row r="727" customFormat="false" ht="15" hidden="false" customHeight="false" outlineLevel="0" collapsed="false">
      <c r="AL727" s="7" t="str">
        <f aca="false">IF(A727="","",IF(COUNTIF(A727:A$2001,A727)=1,1,0))</f>
        <v/>
      </c>
      <c r="AM727" s="7" t="str">
        <f aca="true">IF(I727="","",TODAY()-I727)</f>
        <v/>
      </c>
      <c r="AN727" s="7" t="str">
        <f aca="false">IF(A727="","",IF(AND(E727&lt;&gt;"33 確認済",E727&lt;&gt;"36 送付中"),1,0))</f>
        <v/>
      </c>
      <c r="AO727" s="7" t="str">
        <f aca="false">IF(A727="","",IF(AG727&lt;&gt;"",1,0))</f>
        <v/>
      </c>
    </row>
    <row r="728" customFormat="false" ht="15" hidden="false" customHeight="false" outlineLevel="0" collapsed="false">
      <c r="AL728" s="7" t="str">
        <f aca="false">IF(A728="","",IF(COUNTIF(A728:A$2001,A728)=1,1,0))</f>
        <v/>
      </c>
      <c r="AM728" s="7" t="str">
        <f aca="true">IF(I728="","",TODAY()-I728)</f>
        <v/>
      </c>
      <c r="AN728" s="7" t="str">
        <f aca="false">IF(A728="","",IF(AND(E728&lt;&gt;"33 確認済",E728&lt;&gt;"36 送付中"),1,0))</f>
        <v/>
      </c>
      <c r="AO728" s="7" t="str">
        <f aca="false">IF(A728="","",IF(AG728&lt;&gt;"",1,0))</f>
        <v/>
      </c>
    </row>
    <row r="729" customFormat="false" ht="15" hidden="false" customHeight="false" outlineLevel="0" collapsed="false">
      <c r="AL729" s="7" t="str">
        <f aca="false">IF(A729="","",IF(COUNTIF(A729:A$2001,A729)=1,1,0))</f>
        <v/>
      </c>
      <c r="AM729" s="7" t="str">
        <f aca="true">IF(I729="","",TODAY()-I729)</f>
        <v/>
      </c>
      <c r="AN729" s="7" t="str">
        <f aca="false">IF(A729="","",IF(AND(E729&lt;&gt;"33 確認済",E729&lt;&gt;"36 送付中"),1,0))</f>
        <v/>
      </c>
      <c r="AO729" s="7" t="str">
        <f aca="false">IF(A729="","",IF(AG729&lt;&gt;"",1,0))</f>
        <v/>
      </c>
    </row>
    <row r="730" customFormat="false" ht="15" hidden="false" customHeight="false" outlineLevel="0" collapsed="false">
      <c r="AL730" s="7" t="str">
        <f aca="false">IF(A730="","",IF(COUNTIF(A730:A$2001,A730)=1,1,0))</f>
        <v/>
      </c>
      <c r="AM730" s="7" t="str">
        <f aca="true">IF(I730="","",TODAY()-I730)</f>
        <v/>
      </c>
      <c r="AN730" s="7" t="str">
        <f aca="false">IF(A730="","",IF(AND(E730&lt;&gt;"33 確認済",E730&lt;&gt;"36 送付中"),1,0))</f>
        <v/>
      </c>
      <c r="AO730" s="7" t="str">
        <f aca="false">IF(A730="","",IF(AG730&lt;&gt;"",1,0))</f>
        <v/>
      </c>
    </row>
    <row r="731" customFormat="false" ht="15" hidden="false" customHeight="false" outlineLevel="0" collapsed="false">
      <c r="AL731" s="7" t="str">
        <f aca="false">IF(A731="","",IF(COUNTIF(A731:A$2001,A731)=1,1,0))</f>
        <v/>
      </c>
      <c r="AM731" s="7" t="str">
        <f aca="true">IF(I731="","",TODAY()-I731)</f>
        <v/>
      </c>
      <c r="AN731" s="7" t="str">
        <f aca="false">IF(A731="","",IF(AND(E731&lt;&gt;"33 確認済",E731&lt;&gt;"36 送付中"),1,0))</f>
        <v/>
      </c>
      <c r="AO731" s="7" t="str">
        <f aca="false">IF(A731="","",IF(AG731&lt;&gt;"",1,0))</f>
        <v/>
      </c>
    </row>
    <row r="732" customFormat="false" ht="15" hidden="false" customHeight="false" outlineLevel="0" collapsed="false">
      <c r="AL732" s="7" t="str">
        <f aca="false">IF(A732="","",IF(COUNTIF(A732:A$2001,A732)=1,1,0))</f>
        <v/>
      </c>
      <c r="AM732" s="7" t="str">
        <f aca="true">IF(I732="","",TODAY()-I732)</f>
        <v/>
      </c>
      <c r="AN732" s="7" t="str">
        <f aca="false">IF(A732="","",IF(AND(E732&lt;&gt;"33 確認済",E732&lt;&gt;"36 送付中"),1,0))</f>
        <v/>
      </c>
      <c r="AO732" s="7" t="str">
        <f aca="false">IF(A732="","",IF(AG732&lt;&gt;"",1,0))</f>
        <v/>
      </c>
    </row>
    <row r="733" customFormat="false" ht="15" hidden="false" customHeight="false" outlineLevel="0" collapsed="false">
      <c r="AL733" s="7" t="str">
        <f aca="false">IF(A733="","",IF(COUNTIF(A733:A$2001,A733)=1,1,0))</f>
        <v/>
      </c>
      <c r="AM733" s="7" t="str">
        <f aca="true">IF(I733="","",TODAY()-I733)</f>
        <v/>
      </c>
      <c r="AN733" s="7" t="str">
        <f aca="false">IF(A733="","",IF(AND(E733&lt;&gt;"33 確認済",E733&lt;&gt;"36 送付中"),1,0))</f>
        <v/>
      </c>
      <c r="AO733" s="7" t="str">
        <f aca="false">IF(A733="","",IF(AG733&lt;&gt;"",1,0))</f>
        <v/>
      </c>
    </row>
    <row r="734" customFormat="false" ht="15" hidden="false" customHeight="false" outlineLevel="0" collapsed="false">
      <c r="AL734" s="7" t="str">
        <f aca="false">IF(A734="","",IF(COUNTIF(A734:A$2001,A734)=1,1,0))</f>
        <v/>
      </c>
      <c r="AM734" s="7" t="str">
        <f aca="true">IF(I734="","",TODAY()-I734)</f>
        <v/>
      </c>
      <c r="AN734" s="7" t="str">
        <f aca="false">IF(A734="","",IF(AND(E734&lt;&gt;"33 確認済",E734&lt;&gt;"36 送付中"),1,0))</f>
        <v/>
      </c>
      <c r="AO734" s="7" t="str">
        <f aca="false">IF(A734="","",IF(AG734&lt;&gt;"",1,0))</f>
        <v/>
      </c>
    </row>
    <row r="735" customFormat="false" ht="15" hidden="false" customHeight="false" outlineLevel="0" collapsed="false">
      <c r="AL735" s="7" t="str">
        <f aca="false">IF(A735="","",IF(COUNTIF(A735:A$2001,A735)=1,1,0))</f>
        <v/>
      </c>
      <c r="AM735" s="7" t="str">
        <f aca="true">IF(I735="","",TODAY()-I735)</f>
        <v/>
      </c>
      <c r="AN735" s="7" t="str">
        <f aca="false">IF(A735="","",IF(AND(E735&lt;&gt;"33 確認済",E735&lt;&gt;"36 送付中"),1,0))</f>
        <v/>
      </c>
      <c r="AO735" s="7" t="str">
        <f aca="false">IF(A735="","",IF(AG735&lt;&gt;"",1,0))</f>
        <v/>
      </c>
    </row>
    <row r="736" customFormat="false" ht="15" hidden="false" customHeight="false" outlineLevel="0" collapsed="false">
      <c r="AL736" s="7" t="str">
        <f aca="false">IF(A736="","",IF(COUNTIF(A736:A$2001,A736)=1,1,0))</f>
        <v/>
      </c>
      <c r="AM736" s="7" t="str">
        <f aca="true">IF(I736="","",TODAY()-I736)</f>
        <v/>
      </c>
      <c r="AN736" s="7" t="str">
        <f aca="false">IF(A736="","",IF(AND(E736&lt;&gt;"33 確認済",E736&lt;&gt;"36 送付中"),1,0))</f>
        <v/>
      </c>
      <c r="AO736" s="7" t="str">
        <f aca="false">IF(A736="","",IF(AG736&lt;&gt;"",1,0))</f>
        <v/>
      </c>
    </row>
    <row r="737" customFormat="false" ht="15" hidden="false" customHeight="false" outlineLevel="0" collapsed="false">
      <c r="AL737" s="7" t="str">
        <f aca="false">IF(A737="","",IF(COUNTIF(A737:A$2001,A737)=1,1,0))</f>
        <v/>
      </c>
      <c r="AM737" s="7" t="str">
        <f aca="true">IF(I737="","",TODAY()-I737)</f>
        <v/>
      </c>
      <c r="AN737" s="7" t="str">
        <f aca="false">IF(A737="","",IF(AND(E737&lt;&gt;"33 確認済",E737&lt;&gt;"36 送付中"),1,0))</f>
        <v/>
      </c>
      <c r="AO737" s="7" t="str">
        <f aca="false">IF(A737="","",IF(AG737&lt;&gt;"",1,0))</f>
        <v/>
      </c>
    </row>
    <row r="738" customFormat="false" ht="15" hidden="false" customHeight="false" outlineLevel="0" collapsed="false">
      <c r="AL738" s="7" t="str">
        <f aca="false">IF(A738="","",IF(COUNTIF(A738:A$2001,A738)=1,1,0))</f>
        <v/>
      </c>
      <c r="AM738" s="7" t="str">
        <f aca="true">IF(I738="","",TODAY()-I738)</f>
        <v/>
      </c>
      <c r="AN738" s="7" t="str">
        <f aca="false">IF(A738="","",IF(AND(E738&lt;&gt;"33 確認済",E738&lt;&gt;"36 送付中"),1,0))</f>
        <v/>
      </c>
      <c r="AO738" s="7" t="str">
        <f aca="false">IF(A738="","",IF(AG738&lt;&gt;"",1,0))</f>
        <v/>
      </c>
    </row>
    <row r="739" customFormat="false" ht="15" hidden="false" customHeight="false" outlineLevel="0" collapsed="false">
      <c r="AL739" s="7" t="str">
        <f aca="false">IF(A739="","",IF(COUNTIF(A739:A$2001,A739)=1,1,0))</f>
        <v/>
      </c>
      <c r="AM739" s="7" t="str">
        <f aca="true">IF(I739="","",TODAY()-I739)</f>
        <v/>
      </c>
      <c r="AN739" s="7" t="str">
        <f aca="false">IF(A739="","",IF(AND(E739&lt;&gt;"33 確認済",E739&lt;&gt;"36 送付中"),1,0))</f>
        <v/>
      </c>
      <c r="AO739" s="7" t="str">
        <f aca="false">IF(A739="","",IF(AG739&lt;&gt;"",1,0))</f>
        <v/>
      </c>
    </row>
    <row r="740" customFormat="false" ht="15" hidden="false" customHeight="false" outlineLevel="0" collapsed="false">
      <c r="AL740" s="7" t="str">
        <f aca="false">IF(A740="","",IF(COUNTIF(A740:A$2001,A740)=1,1,0))</f>
        <v/>
      </c>
      <c r="AM740" s="7" t="str">
        <f aca="true">IF(I740="","",TODAY()-I740)</f>
        <v/>
      </c>
      <c r="AN740" s="7" t="str">
        <f aca="false">IF(A740="","",IF(AND(E740&lt;&gt;"33 確認済",E740&lt;&gt;"36 送付中"),1,0))</f>
        <v/>
      </c>
      <c r="AO740" s="7" t="str">
        <f aca="false">IF(A740="","",IF(AG740&lt;&gt;"",1,0))</f>
        <v/>
      </c>
    </row>
    <row r="741" customFormat="false" ht="15" hidden="false" customHeight="false" outlineLevel="0" collapsed="false">
      <c r="AL741" s="7" t="str">
        <f aca="false">IF(A741="","",IF(COUNTIF(A741:A$2001,A741)=1,1,0))</f>
        <v/>
      </c>
      <c r="AM741" s="7" t="str">
        <f aca="true">IF(I741="","",TODAY()-I741)</f>
        <v/>
      </c>
      <c r="AN741" s="7" t="str">
        <f aca="false">IF(A741="","",IF(AND(E741&lt;&gt;"33 確認済",E741&lt;&gt;"36 送付中"),1,0))</f>
        <v/>
      </c>
      <c r="AO741" s="7" t="str">
        <f aca="false">IF(A741="","",IF(AG741&lt;&gt;"",1,0))</f>
        <v/>
      </c>
    </row>
    <row r="742" customFormat="false" ht="15" hidden="false" customHeight="false" outlineLevel="0" collapsed="false">
      <c r="AL742" s="7" t="str">
        <f aca="false">IF(A742="","",IF(COUNTIF(A742:A$2001,A742)=1,1,0))</f>
        <v/>
      </c>
      <c r="AM742" s="7" t="str">
        <f aca="true">IF(I742="","",TODAY()-I742)</f>
        <v/>
      </c>
      <c r="AN742" s="7" t="str">
        <f aca="false">IF(A742="","",IF(AND(E742&lt;&gt;"33 確認済",E742&lt;&gt;"36 送付中"),1,0))</f>
        <v/>
      </c>
      <c r="AO742" s="7" t="str">
        <f aca="false">IF(A742="","",IF(AG742&lt;&gt;"",1,0))</f>
        <v/>
      </c>
    </row>
    <row r="743" customFormat="false" ht="15" hidden="false" customHeight="false" outlineLevel="0" collapsed="false">
      <c r="AL743" s="7" t="str">
        <f aca="false">IF(A743="","",IF(COUNTIF(A743:A$2001,A743)=1,1,0))</f>
        <v/>
      </c>
      <c r="AM743" s="7" t="str">
        <f aca="true">IF(I743="","",TODAY()-I743)</f>
        <v/>
      </c>
      <c r="AN743" s="7" t="str">
        <f aca="false">IF(A743="","",IF(AND(E743&lt;&gt;"33 確認済",E743&lt;&gt;"36 送付中"),1,0))</f>
        <v/>
      </c>
      <c r="AO743" s="7" t="str">
        <f aca="false">IF(A743="","",IF(AG743&lt;&gt;"",1,0))</f>
        <v/>
      </c>
    </row>
    <row r="744" customFormat="false" ht="15" hidden="false" customHeight="false" outlineLevel="0" collapsed="false">
      <c r="AL744" s="7" t="str">
        <f aca="false">IF(A744="","",IF(COUNTIF(A744:A$2001,A744)=1,1,0))</f>
        <v/>
      </c>
      <c r="AM744" s="7" t="str">
        <f aca="true">IF(I744="","",TODAY()-I744)</f>
        <v/>
      </c>
      <c r="AN744" s="7" t="str">
        <f aca="false">IF(A744="","",IF(AND(E744&lt;&gt;"33 確認済",E744&lt;&gt;"36 送付中"),1,0))</f>
        <v/>
      </c>
      <c r="AO744" s="7" t="str">
        <f aca="false">IF(A744="","",IF(AG744&lt;&gt;"",1,0))</f>
        <v/>
      </c>
    </row>
    <row r="745" customFormat="false" ht="15" hidden="false" customHeight="false" outlineLevel="0" collapsed="false">
      <c r="AL745" s="7" t="str">
        <f aca="false">IF(A745="","",IF(COUNTIF(A745:A$2001,A745)=1,1,0))</f>
        <v/>
      </c>
      <c r="AM745" s="7" t="str">
        <f aca="true">IF(I745="","",TODAY()-I745)</f>
        <v/>
      </c>
      <c r="AN745" s="7" t="str">
        <f aca="false">IF(A745="","",IF(AND(E745&lt;&gt;"33 確認済",E745&lt;&gt;"36 送付中"),1,0))</f>
        <v/>
      </c>
      <c r="AO745" s="7" t="str">
        <f aca="false">IF(A745="","",IF(AG745&lt;&gt;"",1,0))</f>
        <v/>
      </c>
    </row>
    <row r="746" customFormat="false" ht="15" hidden="false" customHeight="false" outlineLevel="0" collapsed="false">
      <c r="AL746" s="7" t="str">
        <f aca="false">IF(A746="","",IF(COUNTIF(A746:A$2001,A746)=1,1,0))</f>
        <v/>
      </c>
      <c r="AM746" s="7" t="str">
        <f aca="true">IF(I746="","",TODAY()-I746)</f>
        <v/>
      </c>
      <c r="AN746" s="7" t="str">
        <f aca="false">IF(A746="","",IF(AND(E746&lt;&gt;"33 確認済",E746&lt;&gt;"36 送付中"),1,0))</f>
        <v/>
      </c>
      <c r="AO746" s="7" t="str">
        <f aca="false">IF(A746="","",IF(AG746&lt;&gt;"",1,0))</f>
        <v/>
      </c>
    </row>
    <row r="747" customFormat="false" ht="15" hidden="false" customHeight="false" outlineLevel="0" collapsed="false">
      <c r="AL747" s="7" t="str">
        <f aca="false">IF(A747="","",IF(COUNTIF(A747:A$2001,A747)=1,1,0))</f>
        <v/>
      </c>
      <c r="AM747" s="7" t="str">
        <f aca="true">IF(I747="","",TODAY()-I747)</f>
        <v/>
      </c>
      <c r="AN747" s="7" t="str">
        <f aca="false">IF(A747="","",IF(AND(E747&lt;&gt;"33 確認済",E747&lt;&gt;"36 送付中"),1,0))</f>
        <v/>
      </c>
      <c r="AO747" s="7" t="str">
        <f aca="false">IF(A747="","",IF(AG747&lt;&gt;"",1,0))</f>
        <v/>
      </c>
    </row>
    <row r="748" customFormat="false" ht="15" hidden="false" customHeight="false" outlineLevel="0" collapsed="false">
      <c r="AL748" s="7" t="str">
        <f aca="false">IF(A748="","",IF(COUNTIF(A748:A$2001,A748)=1,1,0))</f>
        <v/>
      </c>
      <c r="AM748" s="7" t="str">
        <f aca="true">IF(I748="","",TODAY()-I748)</f>
        <v/>
      </c>
      <c r="AN748" s="7" t="str">
        <f aca="false">IF(A748="","",IF(AND(E748&lt;&gt;"33 確認済",E748&lt;&gt;"36 送付中"),1,0))</f>
        <v/>
      </c>
      <c r="AO748" s="7" t="str">
        <f aca="false">IF(A748="","",IF(AG748&lt;&gt;"",1,0))</f>
        <v/>
      </c>
    </row>
    <row r="749" customFormat="false" ht="15" hidden="false" customHeight="false" outlineLevel="0" collapsed="false">
      <c r="AL749" s="7" t="str">
        <f aca="false">IF(A749="","",IF(COUNTIF(A749:A$2001,A749)=1,1,0))</f>
        <v/>
      </c>
      <c r="AM749" s="7" t="str">
        <f aca="true">IF(I749="","",TODAY()-I749)</f>
        <v/>
      </c>
      <c r="AN749" s="7" t="str">
        <f aca="false">IF(A749="","",IF(AND(E749&lt;&gt;"33 確認済",E749&lt;&gt;"36 送付中"),1,0))</f>
        <v/>
      </c>
      <c r="AO749" s="7" t="str">
        <f aca="false">IF(A749="","",IF(AG749&lt;&gt;"",1,0))</f>
        <v/>
      </c>
    </row>
    <row r="750" customFormat="false" ht="15" hidden="false" customHeight="false" outlineLevel="0" collapsed="false">
      <c r="AL750" s="7" t="str">
        <f aca="false">IF(A750="","",IF(COUNTIF(A750:A$2001,A750)=1,1,0))</f>
        <v/>
      </c>
      <c r="AM750" s="7" t="str">
        <f aca="true">IF(I750="","",TODAY()-I750)</f>
        <v/>
      </c>
      <c r="AN750" s="7" t="str">
        <f aca="false">IF(A750="","",IF(AND(E750&lt;&gt;"33 確認済",E750&lt;&gt;"36 送付中"),1,0))</f>
        <v/>
      </c>
      <c r="AO750" s="7" t="str">
        <f aca="false">IF(A750="","",IF(AG750&lt;&gt;"",1,0))</f>
        <v/>
      </c>
    </row>
    <row r="751" customFormat="false" ht="15" hidden="false" customHeight="false" outlineLevel="0" collapsed="false">
      <c r="AL751" s="7" t="str">
        <f aca="false">IF(A751="","",IF(COUNTIF(A751:A$2001,A751)=1,1,0))</f>
        <v/>
      </c>
      <c r="AM751" s="7" t="str">
        <f aca="true">IF(I751="","",TODAY()-I751)</f>
        <v/>
      </c>
      <c r="AN751" s="7" t="str">
        <f aca="false">IF(A751="","",IF(AND(E751&lt;&gt;"33 確認済",E751&lt;&gt;"36 送付中"),1,0))</f>
        <v/>
      </c>
      <c r="AO751" s="7" t="str">
        <f aca="false">IF(A751="","",IF(AG751&lt;&gt;"",1,0))</f>
        <v/>
      </c>
    </row>
    <row r="752" customFormat="false" ht="15" hidden="false" customHeight="false" outlineLevel="0" collapsed="false">
      <c r="AL752" s="7" t="str">
        <f aca="false">IF(A752="","",IF(COUNTIF(A752:A$2001,A752)=1,1,0))</f>
        <v/>
      </c>
      <c r="AM752" s="7" t="str">
        <f aca="true">IF(I752="","",TODAY()-I752)</f>
        <v/>
      </c>
      <c r="AN752" s="7" t="str">
        <f aca="false">IF(A752="","",IF(AND(E752&lt;&gt;"33 確認済",E752&lt;&gt;"36 送付中"),1,0))</f>
        <v/>
      </c>
      <c r="AO752" s="7" t="str">
        <f aca="false">IF(A752="","",IF(AG752&lt;&gt;"",1,0))</f>
        <v/>
      </c>
    </row>
    <row r="753" customFormat="false" ht="15" hidden="false" customHeight="false" outlineLevel="0" collapsed="false">
      <c r="AL753" s="7" t="str">
        <f aca="false">IF(A753="","",IF(COUNTIF(A753:A$2001,A753)=1,1,0))</f>
        <v/>
      </c>
      <c r="AM753" s="7" t="str">
        <f aca="true">IF(I753="","",TODAY()-I753)</f>
        <v/>
      </c>
      <c r="AN753" s="7" t="str">
        <f aca="false">IF(A753="","",IF(AND(E753&lt;&gt;"33 確認済",E753&lt;&gt;"36 送付中"),1,0))</f>
        <v/>
      </c>
      <c r="AO753" s="7" t="str">
        <f aca="false">IF(A753="","",IF(AG753&lt;&gt;"",1,0))</f>
        <v/>
      </c>
    </row>
    <row r="754" customFormat="false" ht="15" hidden="false" customHeight="false" outlineLevel="0" collapsed="false">
      <c r="AL754" s="7" t="str">
        <f aca="false">IF(A754="","",IF(COUNTIF(A754:A$2001,A754)=1,1,0))</f>
        <v/>
      </c>
      <c r="AM754" s="7" t="str">
        <f aca="true">IF(I754="","",TODAY()-I754)</f>
        <v/>
      </c>
      <c r="AN754" s="7" t="str">
        <f aca="false">IF(A754="","",IF(AND(E754&lt;&gt;"33 確認済",E754&lt;&gt;"36 送付中"),1,0))</f>
        <v/>
      </c>
      <c r="AO754" s="7" t="str">
        <f aca="false">IF(A754="","",IF(AG754&lt;&gt;"",1,0))</f>
        <v/>
      </c>
    </row>
    <row r="755" customFormat="false" ht="15" hidden="false" customHeight="false" outlineLevel="0" collapsed="false">
      <c r="AL755" s="7" t="str">
        <f aca="false">IF(A755="","",IF(COUNTIF(A755:A$2001,A755)=1,1,0))</f>
        <v/>
      </c>
      <c r="AM755" s="7" t="str">
        <f aca="true">IF(I755="","",TODAY()-I755)</f>
        <v/>
      </c>
      <c r="AN755" s="7" t="str">
        <f aca="false">IF(A755="","",IF(AND(E755&lt;&gt;"33 確認済",E755&lt;&gt;"36 送付中"),1,0))</f>
        <v/>
      </c>
      <c r="AO755" s="7" t="str">
        <f aca="false">IF(A755="","",IF(AG755&lt;&gt;"",1,0))</f>
        <v/>
      </c>
    </row>
    <row r="756" customFormat="false" ht="15" hidden="false" customHeight="false" outlineLevel="0" collapsed="false">
      <c r="AL756" s="7" t="str">
        <f aca="false">IF(A756="","",IF(COUNTIF(A756:A$2001,A756)=1,1,0))</f>
        <v/>
      </c>
      <c r="AM756" s="7" t="str">
        <f aca="true">IF(I756="","",TODAY()-I756)</f>
        <v/>
      </c>
      <c r="AN756" s="7" t="str">
        <f aca="false">IF(A756="","",IF(AND(E756&lt;&gt;"33 確認済",E756&lt;&gt;"36 送付中"),1,0))</f>
        <v/>
      </c>
      <c r="AO756" s="7" t="str">
        <f aca="false">IF(A756="","",IF(AG756&lt;&gt;"",1,0))</f>
        <v/>
      </c>
    </row>
    <row r="757" customFormat="false" ht="15" hidden="false" customHeight="false" outlineLevel="0" collapsed="false">
      <c r="AL757" s="7" t="str">
        <f aca="false">IF(A757="","",IF(COUNTIF(A757:A$2001,A757)=1,1,0))</f>
        <v/>
      </c>
      <c r="AM757" s="7" t="str">
        <f aca="true">IF(I757="","",TODAY()-I757)</f>
        <v/>
      </c>
      <c r="AN757" s="7" t="str">
        <f aca="false">IF(A757="","",IF(AND(E757&lt;&gt;"33 確認済",E757&lt;&gt;"36 送付中"),1,0))</f>
        <v/>
      </c>
      <c r="AO757" s="7" t="str">
        <f aca="false">IF(A757="","",IF(AG757&lt;&gt;"",1,0))</f>
        <v/>
      </c>
    </row>
    <row r="758" customFormat="false" ht="15" hidden="false" customHeight="false" outlineLevel="0" collapsed="false">
      <c r="AL758" s="7" t="str">
        <f aca="false">IF(A758="","",IF(COUNTIF(A758:A$2001,A758)=1,1,0))</f>
        <v/>
      </c>
      <c r="AM758" s="7" t="str">
        <f aca="true">IF(I758="","",TODAY()-I758)</f>
        <v/>
      </c>
      <c r="AN758" s="7" t="str">
        <f aca="false">IF(A758="","",IF(AND(E758&lt;&gt;"33 確認済",E758&lt;&gt;"36 送付中"),1,0))</f>
        <v/>
      </c>
      <c r="AO758" s="7" t="str">
        <f aca="false">IF(A758="","",IF(AG758&lt;&gt;"",1,0))</f>
        <v/>
      </c>
    </row>
    <row r="759" customFormat="false" ht="15" hidden="false" customHeight="false" outlineLevel="0" collapsed="false">
      <c r="AL759" s="7" t="str">
        <f aca="false">IF(A759="","",IF(COUNTIF(A759:A$2001,A759)=1,1,0))</f>
        <v/>
      </c>
      <c r="AM759" s="7" t="str">
        <f aca="true">IF(I759="","",TODAY()-I759)</f>
        <v/>
      </c>
      <c r="AN759" s="7" t="str">
        <f aca="false">IF(A759="","",IF(AND(E759&lt;&gt;"33 確認済",E759&lt;&gt;"36 送付中"),1,0))</f>
        <v/>
      </c>
      <c r="AO759" s="7" t="str">
        <f aca="false">IF(A759="","",IF(AG759&lt;&gt;"",1,0))</f>
        <v/>
      </c>
    </row>
    <row r="760" customFormat="false" ht="15" hidden="false" customHeight="false" outlineLevel="0" collapsed="false">
      <c r="AL760" s="7" t="str">
        <f aca="false">IF(A760="","",IF(COUNTIF(A760:A$2001,A760)=1,1,0))</f>
        <v/>
      </c>
      <c r="AM760" s="7" t="str">
        <f aca="true">IF(I760="","",TODAY()-I760)</f>
        <v/>
      </c>
      <c r="AN760" s="7" t="str">
        <f aca="false">IF(A760="","",IF(AND(E760&lt;&gt;"33 確認済",E760&lt;&gt;"36 送付中"),1,0))</f>
        <v/>
      </c>
      <c r="AO760" s="7" t="str">
        <f aca="false">IF(A760="","",IF(AG760&lt;&gt;"",1,0))</f>
        <v/>
      </c>
    </row>
    <row r="761" customFormat="false" ht="15" hidden="false" customHeight="false" outlineLevel="0" collapsed="false">
      <c r="AL761" s="7" t="str">
        <f aca="false">IF(A761="","",IF(COUNTIF(A761:A$2001,A761)=1,1,0))</f>
        <v/>
      </c>
      <c r="AM761" s="7" t="str">
        <f aca="true">IF(I761="","",TODAY()-I761)</f>
        <v/>
      </c>
      <c r="AN761" s="7" t="str">
        <f aca="false">IF(A761="","",IF(AND(E761&lt;&gt;"33 確認済",E761&lt;&gt;"36 送付中"),1,0))</f>
        <v/>
      </c>
      <c r="AO761" s="7" t="str">
        <f aca="false">IF(A761="","",IF(AG761&lt;&gt;"",1,0))</f>
        <v/>
      </c>
    </row>
    <row r="762" customFormat="false" ht="15" hidden="false" customHeight="false" outlineLevel="0" collapsed="false">
      <c r="AL762" s="7" t="str">
        <f aca="false">IF(A762="","",IF(COUNTIF(A762:A$2001,A762)=1,1,0))</f>
        <v/>
      </c>
      <c r="AM762" s="7" t="str">
        <f aca="true">IF(I762="","",TODAY()-I762)</f>
        <v/>
      </c>
      <c r="AN762" s="7" t="str">
        <f aca="false">IF(A762="","",IF(AND(E762&lt;&gt;"33 確認済",E762&lt;&gt;"36 送付中"),1,0))</f>
        <v/>
      </c>
      <c r="AO762" s="7" t="str">
        <f aca="false">IF(A762="","",IF(AG762&lt;&gt;"",1,0))</f>
        <v/>
      </c>
    </row>
    <row r="763" customFormat="false" ht="15" hidden="false" customHeight="false" outlineLevel="0" collapsed="false">
      <c r="AL763" s="7" t="str">
        <f aca="false">IF(A763="","",IF(COUNTIF(A763:A$2001,A763)=1,1,0))</f>
        <v/>
      </c>
      <c r="AM763" s="7" t="str">
        <f aca="true">IF(I763="","",TODAY()-I763)</f>
        <v/>
      </c>
      <c r="AN763" s="7" t="str">
        <f aca="false">IF(A763="","",IF(AND(E763&lt;&gt;"33 確認済",E763&lt;&gt;"36 送付中"),1,0))</f>
        <v/>
      </c>
      <c r="AO763" s="7" t="str">
        <f aca="false">IF(A763="","",IF(AG763&lt;&gt;"",1,0))</f>
        <v/>
      </c>
    </row>
    <row r="764" customFormat="false" ht="15" hidden="false" customHeight="false" outlineLevel="0" collapsed="false">
      <c r="AL764" s="7" t="str">
        <f aca="false">IF(A764="","",IF(COUNTIF(A764:A$2001,A764)=1,1,0))</f>
        <v/>
      </c>
      <c r="AM764" s="7" t="str">
        <f aca="true">IF(I764="","",TODAY()-I764)</f>
        <v/>
      </c>
      <c r="AN764" s="7" t="str">
        <f aca="false">IF(A764="","",IF(AND(E764&lt;&gt;"33 確認済",E764&lt;&gt;"36 送付中"),1,0))</f>
        <v/>
      </c>
      <c r="AO764" s="7" t="str">
        <f aca="false">IF(A764="","",IF(AG764&lt;&gt;"",1,0))</f>
        <v/>
      </c>
    </row>
    <row r="765" customFormat="false" ht="15" hidden="false" customHeight="false" outlineLevel="0" collapsed="false">
      <c r="AL765" s="7" t="str">
        <f aca="false">IF(A765="","",IF(COUNTIF(A765:A$2001,A765)=1,1,0))</f>
        <v/>
      </c>
      <c r="AM765" s="7" t="str">
        <f aca="true">IF(I765="","",TODAY()-I765)</f>
        <v/>
      </c>
      <c r="AN765" s="7" t="str">
        <f aca="false">IF(A765="","",IF(AND(E765&lt;&gt;"33 確認済",E765&lt;&gt;"36 送付中"),1,0))</f>
        <v/>
      </c>
      <c r="AO765" s="7" t="str">
        <f aca="false">IF(A765="","",IF(AG765&lt;&gt;"",1,0))</f>
        <v/>
      </c>
    </row>
    <row r="766" customFormat="false" ht="15" hidden="false" customHeight="false" outlineLevel="0" collapsed="false">
      <c r="AL766" s="7" t="str">
        <f aca="false">IF(A766="","",IF(COUNTIF(A766:A$2001,A766)=1,1,0))</f>
        <v/>
      </c>
      <c r="AM766" s="7" t="str">
        <f aca="true">IF(I766="","",TODAY()-I766)</f>
        <v/>
      </c>
      <c r="AN766" s="7" t="str">
        <f aca="false">IF(A766="","",IF(AND(E766&lt;&gt;"33 確認済",E766&lt;&gt;"36 送付中"),1,0))</f>
        <v/>
      </c>
      <c r="AO766" s="7" t="str">
        <f aca="false">IF(A766="","",IF(AG766&lt;&gt;"",1,0))</f>
        <v/>
      </c>
    </row>
    <row r="767" customFormat="false" ht="15" hidden="false" customHeight="false" outlineLevel="0" collapsed="false">
      <c r="AL767" s="7" t="str">
        <f aca="false">IF(A767="","",IF(COUNTIF(A767:A$2001,A767)=1,1,0))</f>
        <v/>
      </c>
      <c r="AM767" s="7" t="str">
        <f aca="true">IF(I767="","",TODAY()-I767)</f>
        <v/>
      </c>
      <c r="AN767" s="7" t="str">
        <f aca="false">IF(A767="","",IF(AND(E767&lt;&gt;"33 確認済",E767&lt;&gt;"36 送付中"),1,0))</f>
        <v/>
      </c>
      <c r="AO767" s="7" t="str">
        <f aca="false">IF(A767="","",IF(AG767&lt;&gt;"",1,0))</f>
        <v/>
      </c>
    </row>
    <row r="768" customFormat="false" ht="15" hidden="false" customHeight="false" outlineLevel="0" collapsed="false">
      <c r="AL768" s="7" t="str">
        <f aca="false">IF(A768="","",IF(COUNTIF(A768:A$2001,A768)=1,1,0))</f>
        <v/>
      </c>
      <c r="AM768" s="7" t="str">
        <f aca="true">IF(I768="","",TODAY()-I768)</f>
        <v/>
      </c>
      <c r="AN768" s="7" t="str">
        <f aca="false">IF(A768="","",IF(AND(E768&lt;&gt;"33 確認済",E768&lt;&gt;"36 送付中"),1,0))</f>
        <v/>
      </c>
      <c r="AO768" s="7" t="str">
        <f aca="false">IF(A768="","",IF(AG768&lt;&gt;"",1,0))</f>
        <v/>
      </c>
    </row>
    <row r="769" customFormat="false" ht="15" hidden="false" customHeight="false" outlineLevel="0" collapsed="false">
      <c r="AL769" s="7" t="str">
        <f aca="false">IF(A769="","",IF(COUNTIF(A769:A$2001,A769)=1,1,0))</f>
        <v/>
      </c>
      <c r="AM769" s="7" t="str">
        <f aca="true">IF(I769="","",TODAY()-I769)</f>
        <v/>
      </c>
      <c r="AN769" s="7" t="str">
        <f aca="false">IF(A769="","",IF(AND(E769&lt;&gt;"33 確認済",E769&lt;&gt;"36 送付中"),1,0))</f>
        <v/>
      </c>
      <c r="AO769" s="7" t="str">
        <f aca="false">IF(A769="","",IF(AG769&lt;&gt;"",1,0))</f>
        <v/>
      </c>
    </row>
    <row r="770" customFormat="false" ht="15" hidden="false" customHeight="false" outlineLevel="0" collapsed="false">
      <c r="AL770" s="7" t="str">
        <f aca="false">IF(A770="","",IF(COUNTIF(A770:A$2001,A770)=1,1,0))</f>
        <v/>
      </c>
      <c r="AM770" s="7" t="str">
        <f aca="true">IF(I770="","",TODAY()-I770)</f>
        <v/>
      </c>
      <c r="AN770" s="7" t="str">
        <f aca="false">IF(A770="","",IF(AND(E770&lt;&gt;"33 確認済",E770&lt;&gt;"36 送付中"),1,0))</f>
        <v/>
      </c>
      <c r="AO770" s="7" t="str">
        <f aca="false">IF(A770="","",IF(AG770&lt;&gt;"",1,0))</f>
        <v/>
      </c>
    </row>
    <row r="771" customFormat="false" ht="15" hidden="false" customHeight="false" outlineLevel="0" collapsed="false">
      <c r="AL771" s="7" t="str">
        <f aca="false">IF(A771="","",IF(COUNTIF(A771:A$2001,A771)=1,1,0))</f>
        <v/>
      </c>
      <c r="AM771" s="7" t="str">
        <f aca="true">IF(I771="","",TODAY()-I771)</f>
        <v/>
      </c>
      <c r="AN771" s="7" t="str">
        <f aca="false">IF(A771="","",IF(AND(E771&lt;&gt;"33 確認済",E771&lt;&gt;"36 送付中"),1,0))</f>
        <v/>
      </c>
      <c r="AO771" s="7" t="str">
        <f aca="false">IF(A771="","",IF(AG771&lt;&gt;"",1,0))</f>
        <v/>
      </c>
    </row>
    <row r="772" customFormat="false" ht="15" hidden="false" customHeight="false" outlineLevel="0" collapsed="false">
      <c r="AL772" s="7" t="str">
        <f aca="false">IF(A772="","",IF(COUNTIF(A772:A$2001,A772)=1,1,0))</f>
        <v/>
      </c>
      <c r="AM772" s="7" t="str">
        <f aca="true">IF(I772="","",TODAY()-I772)</f>
        <v/>
      </c>
      <c r="AN772" s="7" t="str">
        <f aca="false">IF(A772="","",IF(AND(E772&lt;&gt;"33 確認済",E772&lt;&gt;"36 送付中"),1,0))</f>
        <v/>
      </c>
      <c r="AO772" s="7" t="str">
        <f aca="false">IF(A772="","",IF(AG772&lt;&gt;"",1,0))</f>
        <v/>
      </c>
    </row>
    <row r="773" customFormat="false" ht="15" hidden="false" customHeight="false" outlineLevel="0" collapsed="false">
      <c r="AL773" s="7" t="str">
        <f aca="false">IF(A773="","",IF(COUNTIF(A773:A$2001,A773)=1,1,0))</f>
        <v/>
      </c>
      <c r="AM773" s="7" t="str">
        <f aca="true">IF(I773="","",TODAY()-I773)</f>
        <v/>
      </c>
      <c r="AN773" s="7" t="str">
        <f aca="false">IF(A773="","",IF(AND(E773&lt;&gt;"33 確認済",E773&lt;&gt;"36 送付中"),1,0))</f>
        <v/>
      </c>
      <c r="AO773" s="7" t="str">
        <f aca="false">IF(A773="","",IF(AG773&lt;&gt;"",1,0))</f>
        <v/>
      </c>
    </row>
    <row r="774" customFormat="false" ht="15" hidden="false" customHeight="false" outlineLevel="0" collapsed="false">
      <c r="AL774" s="7" t="str">
        <f aca="false">IF(A774="","",IF(COUNTIF(A774:A$2001,A774)=1,1,0))</f>
        <v/>
      </c>
      <c r="AM774" s="7" t="str">
        <f aca="true">IF(I774="","",TODAY()-I774)</f>
        <v/>
      </c>
      <c r="AN774" s="7" t="str">
        <f aca="false">IF(A774="","",IF(AND(E774&lt;&gt;"33 確認済",E774&lt;&gt;"36 送付中"),1,0))</f>
        <v/>
      </c>
      <c r="AO774" s="7" t="str">
        <f aca="false">IF(A774="","",IF(AG774&lt;&gt;"",1,0))</f>
        <v/>
      </c>
    </row>
    <row r="775" customFormat="false" ht="15" hidden="false" customHeight="false" outlineLevel="0" collapsed="false">
      <c r="AL775" s="7" t="str">
        <f aca="false">IF(A775="","",IF(COUNTIF(A775:A$2001,A775)=1,1,0))</f>
        <v/>
      </c>
      <c r="AM775" s="7" t="str">
        <f aca="true">IF(I775="","",TODAY()-I775)</f>
        <v/>
      </c>
      <c r="AN775" s="7" t="str">
        <f aca="false">IF(A775="","",IF(AND(E775&lt;&gt;"33 確認済",E775&lt;&gt;"36 送付中"),1,0))</f>
        <v/>
      </c>
      <c r="AO775" s="7" t="str">
        <f aca="false">IF(A775="","",IF(AG775&lt;&gt;"",1,0))</f>
        <v/>
      </c>
    </row>
    <row r="776" customFormat="false" ht="15" hidden="false" customHeight="false" outlineLevel="0" collapsed="false">
      <c r="AL776" s="7" t="str">
        <f aca="false">IF(A776="","",IF(COUNTIF(A776:A$2001,A776)=1,1,0))</f>
        <v/>
      </c>
      <c r="AM776" s="7" t="str">
        <f aca="true">IF(I776="","",TODAY()-I776)</f>
        <v/>
      </c>
      <c r="AN776" s="7" t="str">
        <f aca="false">IF(A776="","",IF(AND(E776&lt;&gt;"33 確認済",E776&lt;&gt;"36 送付中"),1,0))</f>
        <v/>
      </c>
      <c r="AO776" s="7" t="str">
        <f aca="false">IF(A776="","",IF(AG776&lt;&gt;"",1,0))</f>
        <v/>
      </c>
    </row>
    <row r="777" customFormat="false" ht="15" hidden="false" customHeight="false" outlineLevel="0" collapsed="false">
      <c r="AL777" s="7" t="str">
        <f aca="false">IF(A777="","",IF(COUNTIF(A777:A$2001,A777)=1,1,0))</f>
        <v/>
      </c>
      <c r="AM777" s="7" t="str">
        <f aca="true">IF(I777="","",TODAY()-I777)</f>
        <v/>
      </c>
      <c r="AN777" s="7" t="str">
        <f aca="false">IF(A777="","",IF(AND(E777&lt;&gt;"33 確認済",E777&lt;&gt;"36 送付中"),1,0))</f>
        <v/>
      </c>
      <c r="AO777" s="7" t="str">
        <f aca="false">IF(A777="","",IF(AG777&lt;&gt;"",1,0))</f>
        <v/>
      </c>
    </row>
    <row r="778" customFormat="false" ht="15" hidden="false" customHeight="false" outlineLevel="0" collapsed="false">
      <c r="AL778" s="7" t="str">
        <f aca="false">IF(A778="","",IF(COUNTIF(A778:A$2001,A778)=1,1,0))</f>
        <v/>
      </c>
      <c r="AM778" s="7" t="str">
        <f aca="true">IF(I778="","",TODAY()-I778)</f>
        <v/>
      </c>
      <c r="AN778" s="7" t="str">
        <f aca="false">IF(A778="","",IF(AND(E778&lt;&gt;"33 確認済",E778&lt;&gt;"36 送付中"),1,0))</f>
        <v/>
      </c>
      <c r="AO778" s="7" t="str">
        <f aca="false">IF(A778="","",IF(AG778&lt;&gt;"",1,0))</f>
        <v/>
      </c>
    </row>
    <row r="779" customFormat="false" ht="15" hidden="false" customHeight="false" outlineLevel="0" collapsed="false">
      <c r="AL779" s="7" t="str">
        <f aca="false">IF(A779="","",IF(COUNTIF(A779:A$2001,A779)=1,1,0))</f>
        <v/>
      </c>
      <c r="AM779" s="7" t="str">
        <f aca="true">IF(I779="","",TODAY()-I779)</f>
        <v/>
      </c>
      <c r="AN779" s="7" t="str">
        <f aca="false">IF(A779="","",IF(AND(E779&lt;&gt;"33 確認済",E779&lt;&gt;"36 送付中"),1,0))</f>
        <v/>
      </c>
      <c r="AO779" s="7" t="str">
        <f aca="false">IF(A779="","",IF(AG779&lt;&gt;"",1,0))</f>
        <v/>
      </c>
    </row>
    <row r="780" customFormat="false" ht="15" hidden="false" customHeight="false" outlineLevel="0" collapsed="false">
      <c r="AL780" s="7" t="str">
        <f aca="false">IF(A780="","",IF(COUNTIF(A780:A$2001,A780)=1,1,0))</f>
        <v/>
      </c>
      <c r="AM780" s="7" t="str">
        <f aca="true">IF(I780="","",TODAY()-I780)</f>
        <v/>
      </c>
      <c r="AN780" s="7" t="str">
        <f aca="false">IF(A780="","",IF(AND(E780&lt;&gt;"33 確認済",E780&lt;&gt;"36 送付中"),1,0))</f>
        <v/>
      </c>
      <c r="AO780" s="7" t="str">
        <f aca="false">IF(A780="","",IF(AG780&lt;&gt;"",1,0))</f>
        <v/>
      </c>
    </row>
    <row r="781" customFormat="false" ht="15" hidden="false" customHeight="false" outlineLevel="0" collapsed="false">
      <c r="AL781" s="7" t="str">
        <f aca="false">IF(A781="","",IF(COUNTIF(A781:A$2001,A781)=1,1,0))</f>
        <v/>
      </c>
      <c r="AM781" s="7" t="str">
        <f aca="true">IF(I781="","",TODAY()-I781)</f>
        <v/>
      </c>
      <c r="AN781" s="7" t="str">
        <f aca="false">IF(A781="","",IF(AND(E781&lt;&gt;"33 確認済",E781&lt;&gt;"36 送付中"),1,0))</f>
        <v/>
      </c>
      <c r="AO781" s="7" t="str">
        <f aca="false">IF(A781="","",IF(AG781&lt;&gt;"",1,0))</f>
        <v/>
      </c>
    </row>
    <row r="782" customFormat="false" ht="15" hidden="false" customHeight="false" outlineLevel="0" collapsed="false">
      <c r="AL782" s="7" t="str">
        <f aca="false">IF(A782="","",IF(COUNTIF(A782:A$2001,A782)=1,1,0))</f>
        <v/>
      </c>
      <c r="AM782" s="7" t="str">
        <f aca="true">IF(I782="","",TODAY()-I782)</f>
        <v/>
      </c>
      <c r="AN782" s="7" t="str">
        <f aca="false">IF(A782="","",IF(AND(E782&lt;&gt;"33 確認済",E782&lt;&gt;"36 送付中"),1,0))</f>
        <v/>
      </c>
      <c r="AO782" s="7" t="str">
        <f aca="false">IF(A782="","",IF(AG782&lt;&gt;"",1,0))</f>
        <v/>
      </c>
    </row>
    <row r="783" customFormat="false" ht="15" hidden="false" customHeight="false" outlineLevel="0" collapsed="false">
      <c r="AL783" s="7" t="str">
        <f aca="false">IF(A783="","",IF(COUNTIF(A783:A$2001,A783)=1,1,0))</f>
        <v/>
      </c>
      <c r="AM783" s="7" t="str">
        <f aca="true">IF(I783="","",TODAY()-I783)</f>
        <v/>
      </c>
      <c r="AN783" s="7" t="str">
        <f aca="false">IF(A783="","",IF(AND(E783&lt;&gt;"33 確認済",E783&lt;&gt;"36 送付中"),1,0))</f>
        <v/>
      </c>
      <c r="AO783" s="7" t="str">
        <f aca="false">IF(A783="","",IF(AG783&lt;&gt;"",1,0))</f>
        <v/>
      </c>
    </row>
    <row r="784" customFormat="false" ht="15" hidden="false" customHeight="false" outlineLevel="0" collapsed="false">
      <c r="AL784" s="7" t="str">
        <f aca="false">IF(A784="","",IF(COUNTIF(A784:A$2001,A784)=1,1,0))</f>
        <v/>
      </c>
      <c r="AM784" s="7" t="str">
        <f aca="true">IF(I784="","",TODAY()-I784)</f>
        <v/>
      </c>
      <c r="AN784" s="7" t="str">
        <f aca="false">IF(A784="","",IF(AND(E784&lt;&gt;"33 確認済",E784&lt;&gt;"36 送付中"),1,0))</f>
        <v/>
      </c>
      <c r="AO784" s="7" t="str">
        <f aca="false">IF(A784="","",IF(AG784&lt;&gt;"",1,0))</f>
        <v/>
      </c>
    </row>
    <row r="785" customFormat="false" ht="15" hidden="false" customHeight="false" outlineLevel="0" collapsed="false">
      <c r="AL785" s="7" t="str">
        <f aca="false">IF(A785="","",IF(COUNTIF(A785:A$2001,A785)=1,1,0))</f>
        <v/>
      </c>
      <c r="AM785" s="7" t="str">
        <f aca="true">IF(I785="","",TODAY()-I785)</f>
        <v/>
      </c>
      <c r="AN785" s="7" t="str">
        <f aca="false">IF(A785="","",IF(AND(E785&lt;&gt;"33 確認済",E785&lt;&gt;"36 送付中"),1,0))</f>
        <v/>
      </c>
      <c r="AO785" s="7" t="str">
        <f aca="false">IF(A785="","",IF(AG785&lt;&gt;"",1,0))</f>
        <v/>
      </c>
    </row>
    <row r="786" customFormat="false" ht="15" hidden="false" customHeight="false" outlineLevel="0" collapsed="false">
      <c r="AL786" s="7" t="str">
        <f aca="false">IF(A786="","",IF(COUNTIF(A786:A$2001,A786)=1,1,0))</f>
        <v/>
      </c>
      <c r="AM786" s="7" t="str">
        <f aca="true">IF(I786="","",TODAY()-I786)</f>
        <v/>
      </c>
      <c r="AN786" s="7" t="str">
        <f aca="false">IF(A786="","",IF(AND(E786&lt;&gt;"33 確認済",E786&lt;&gt;"36 送付中"),1,0))</f>
        <v/>
      </c>
      <c r="AO786" s="7" t="str">
        <f aca="false">IF(A786="","",IF(AG786&lt;&gt;"",1,0))</f>
        <v/>
      </c>
    </row>
    <row r="787" customFormat="false" ht="15" hidden="false" customHeight="false" outlineLevel="0" collapsed="false">
      <c r="AL787" s="7" t="str">
        <f aca="false">IF(A787="","",IF(COUNTIF(A787:A$2001,A787)=1,1,0))</f>
        <v/>
      </c>
      <c r="AM787" s="7" t="str">
        <f aca="true">IF(I787="","",TODAY()-I787)</f>
        <v/>
      </c>
      <c r="AN787" s="7" t="str">
        <f aca="false">IF(A787="","",IF(AND(E787&lt;&gt;"33 確認済",E787&lt;&gt;"36 送付中"),1,0))</f>
        <v/>
      </c>
      <c r="AO787" s="7" t="str">
        <f aca="false">IF(A787="","",IF(AG787&lt;&gt;"",1,0))</f>
        <v/>
      </c>
    </row>
    <row r="788" customFormat="false" ht="15" hidden="false" customHeight="false" outlineLevel="0" collapsed="false">
      <c r="AL788" s="7" t="str">
        <f aca="false">IF(A788="","",IF(COUNTIF(A788:A$2001,A788)=1,1,0))</f>
        <v/>
      </c>
      <c r="AM788" s="7" t="str">
        <f aca="true">IF(I788="","",TODAY()-I788)</f>
        <v/>
      </c>
      <c r="AN788" s="7" t="str">
        <f aca="false">IF(A788="","",IF(AND(E788&lt;&gt;"33 確認済",E788&lt;&gt;"36 送付中"),1,0))</f>
        <v/>
      </c>
      <c r="AO788" s="7" t="str">
        <f aca="false">IF(A788="","",IF(AG788&lt;&gt;"",1,0))</f>
        <v/>
      </c>
    </row>
    <row r="789" customFormat="false" ht="15" hidden="false" customHeight="false" outlineLevel="0" collapsed="false">
      <c r="AL789" s="7" t="str">
        <f aca="false">IF(A789="","",IF(COUNTIF(A789:A$2001,A789)=1,1,0))</f>
        <v/>
      </c>
      <c r="AM789" s="7" t="str">
        <f aca="true">IF(I789="","",TODAY()-I789)</f>
        <v/>
      </c>
      <c r="AN789" s="7" t="str">
        <f aca="false">IF(A789="","",IF(AND(E789&lt;&gt;"33 確認済",E789&lt;&gt;"36 送付中"),1,0))</f>
        <v/>
      </c>
      <c r="AO789" s="7" t="str">
        <f aca="false">IF(A789="","",IF(AG789&lt;&gt;"",1,0))</f>
        <v/>
      </c>
    </row>
    <row r="790" customFormat="false" ht="15" hidden="false" customHeight="false" outlineLevel="0" collapsed="false">
      <c r="AL790" s="7" t="str">
        <f aca="false">IF(A790="","",IF(COUNTIF(A790:A$2001,A790)=1,1,0))</f>
        <v/>
      </c>
      <c r="AM790" s="7" t="str">
        <f aca="true">IF(I790="","",TODAY()-I790)</f>
        <v/>
      </c>
      <c r="AN790" s="7" t="str">
        <f aca="false">IF(A790="","",IF(AND(E790&lt;&gt;"33 確認済",E790&lt;&gt;"36 送付中"),1,0))</f>
        <v/>
      </c>
      <c r="AO790" s="7" t="str">
        <f aca="false">IF(A790="","",IF(AG790&lt;&gt;"",1,0))</f>
        <v/>
      </c>
    </row>
    <row r="791" customFormat="false" ht="15" hidden="false" customHeight="false" outlineLevel="0" collapsed="false">
      <c r="AL791" s="7" t="str">
        <f aca="false">IF(A791="","",IF(COUNTIF(A791:A$2001,A791)=1,1,0))</f>
        <v/>
      </c>
      <c r="AM791" s="7" t="str">
        <f aca="true">IF(I791="","",TODAY()-I791)</f>
        <v/>
      </c>
      <c r="AN791" s="7" t="str">
        <f aca="false">IF(A791="","",IF(AND(E791&lt;&gt;"33 確認済",E791&lt;&gt;"36 送付中"),1,0))</f>
        <v/>
      </c>
      <c r="AO791" s="7" t="str">
        <f aca="false">IF(A791="","",IF(AG791&lt;&gt;"",1,0))</f>
        <v/>
      </c>
    </row>
    <row r="792" customFormat="false" ht="15" hidden="false" customHeight="false" outlineLevel="0" collapsed="false">
      <c r="AL792" s="7" t="str">
        <f aca="false">IF(A792="","",IF(COUNTIF(A792:A$2001,A792)=1,1,0))</f>
        <v/>
      </c>
      <c r="AM792" s="7" t="str">
        <f aca="true">IF(I792="","",TODAY()-I792)</f>
        <v/>
      </c>
      <c r="AN792" s="7" t="str">
        <f aca="false">IF(A792="","",IF(AND(E792&lt;&gt;"33 確認済",E792&lt;&gt;"36 送付中"),1,0))</f>
        <v/>
      </c>
      <c r="AO792" s="7" t="str">
        <f aca="false">IF(A792="","",IF(AG792&lt;&gt;"",1,0))</f>
        <v/>
      </c>
    </row>
    <row r="793" customFormat="false" ht="15" hidden="false" customHeight="false" outlineLevel="0" collapsed="false">
      <c r="AL793" s="7" t="str">
        <f aca="false">IF(A793="","",IF(COUNTIF(A793:A$2001,A793)=1,1,0))</f>
        <v/>
      </c>
      <c r="AM793" s="7" t="str">
        <f aca="true">IF(I793="","",TODAY()-I793)</f>
        <v/>
      </c>
      <c r="AN793" s="7" t="str">
        <f aca="false">IF(A793="","",IF(AND(E793&lt;&gt;"33 確認済",E793&lt;&gt;"36 送付中"),1,0))</f>
        <v/>
      </c>
      <c r="AO793" s="7" t="str">
        <f aca="false">IF(A793="","",IF(AG793&lt;&gt;"",1,0))</f>
        <v/>
      </c>
    </row>
    <row r="794" customFormat="false" ht="15" hidden="false" customHeight="false" outlineLevel="0" collapsed="false">
      <c r="AL794" s="7" t="str">
        <f aca="false">IF(A794="","",IF(COUNTIF(A794:A$2001,A794)=1,1,0))</f>
        <v/>
      </c>
      <c r="AM794" s="7" t="str">
        <f aca="true">IF(I794="","",TODAY()-I794)</f>
        <v/>
      </c>
      <c r="AN794" s="7" t="str">
        <f aca="false">IF(A794="","",IF(AND(E794&lt;&gt;"33 確認済",E794&lt;&gt;"36 送付中"),1,0))</f>
        <v/>
      </c>
      <c r="AO794" s="7" t="str">
        <f aca="false">IF(A794="","",IF(AG794&lt;&gt;"",1,0))</f>
        <v/>
      </c>
    </row>
    <row r="795" customFormat="false" ht="15" hidden="false" customHeight="false" outlineLevel="0" collapsed="false">
      <c r="AL795" s="7" t="str">
        <f aca="false">IF(A795="","",IF(COUNTIF(A795:A$2001,A795)=1,1,0))</f>
        <v/>
      </c>
      <c r="AM795" s="7" t="str">
        <f aca="true">IF(I795="","",TODAY()-I795)</f>
        <v/>
      </c>
      <c r="AN795" s="7" t="str">
        <f aca="false">IF(A795="","",IF(AND(E795&lt;&gt;"33 確認済",E795&lt;&gt;"36 送付中"),1,0))</f>
        <v/>
      </c>
      <c r="AO795" s="7" t="str">
        <f aca="false">IF(A795="","",IF(AG795&lt;&gt;"",1,0))</f>
        <v/>
      </c>
    </row>
    <row r="796" customFormat="false" ht="15" hidden="false" customHeight="false" outlineLevel="0" collapsed="false">
      <c r="AL796" s="7" t="str">
        <f aca="false">IF(A796="","",IF(COUNTIF(A796:A$2001,A796)=1,1,0))</f>
        <v/>
      </c>
      <c r="AM796" s="7" t="str">
        <f aca="true">IF(I796="","",TODAY()-I796)</f>
        <v/>
      </c>
      <c r="AN796" s="7" t="str">
        <f aca="false">IF(A796="","",IF(AND(E796&lt;&gt;"33 確認済",E796&lt;&gt;"36 送付中"),1,0))</f>
        <v/>
      </c>
      <c r="AO796" s="7" t="str">
        <f aca="false">IF(A796="","",IF(AG796&lt;&gt;"",1,0))</f>
        <v/>
      </c>
    </row>
    <row r="797" customFormat="false" ht="15" hidden="false" customHeight="false" outlineLevel="0" collapsed="false">
      <c r="AL797" s="7" t="str">
        <f aca="false">IF(A797="","",IF(COUNTIF(A797:A$2001,A797)=1,1,0))</f>
        <v/>
      </c>
      <c r="AM797" s="7" t="str">
        <f aca="true">IF(I797="","",TODAY()-I797)</f>
        <v/>
      </c>
      <c r="AN797" s="7" t="str">
        <f aca="false">IF(A797="","",IF(AND(E797&lt;&gt;"33 確認済",E797&lt;&gt;"36 送付中"),1,0))</f>
        <v/>
      </c>
      <c r="AO797" s="7" t="str">
        <f aca="false">IF(A797="","",IF(AG797&lt;&gt;"",1,0))</f>
        <v/>
      </c>
    </row>
    <row r="798" customFormat="false" ht="15" hidden="false" customHeight="false" outlineLevel="0" collapsed="false">
      <c r="AL798" s="7" t="str">
        <f aca="false">IF(A798="","",IF(COUNTIF(A798:A$2001,A798)=1,1,0))</f>
        <v/>
      </c>
      <c r="AM798" s="7" t="str">
        <f aca="true">IF(I798="","",TODAY()-I798)</f>
        <v/>
      </c>
      <c r="AN798" s="7" t="str">
        <f aca="false">IF(A798="","",IF(AND(E798&lt;&gt;"33 確認済",E798&lt;&gt;"36 送付中"),1,0))</f>
        <v/>
      </c>
      <c r="AO798" s="7" t="str">
        <f aca="false">IF(A798="","",IF(AG798&lt;&gt;"",1,0))</f>
        <v/>
      </c>
    </row>
    <row r="799" customFormat="false" ht="15" hidden="false" customHeight="false" outlineLevel="0" collapsed="false">
      <c r="AL799" s="7" t="str">
        <f aca="false">IF(A799="","",IF(COUNTIF(A799:A$2001,A799)=1,1,0))</f>
        <v/>
      </c>
      <c r="AM799" s="7" t="str">
        <f aca="true">IF(I799="","",TODAY()-I799)</f>
        <v/>
      </c>
      <c r="AN799" s="7" t="str">
        <f aca="false">IF(A799="","",IF(AND(E799&lt;&gt;"33 確認済",E799&lt;&gt;"36 送付中"),1,0))</f>
        <v/>
      </c>
      <c r="AO799" s="7" t="str">
        <f aca="false">IF(A799="","",IF(AG799&lt;&gt;"",1,0))</f>
        <v/>
      </c>
    </row>
    <row r="800" customFormat="false" ht="15" hidden="false" customHeight="false" outlineLevel="0" collapsed="false">
      <c r="AL800" s="7" t="str">
        <f aca="false">IF(A800="","",IF(COUNTIF(A800:A$2001,A800)=1,1,0))</f>
        <v/>
      </c>
      <c r="AM800" s="7" t="str">
        <f aca="true">IF(I800="","",TODAY()-I800)</f>
        <v/>
      </c>
      <c r="AN800" s="7" t="str">
        <f aca="false">IF(A800="","",IF(AND(E800&lt;&gt;"33 確認済",E800&lt;&gt;"36 送付中"),1,0))</f>
        <v/>
      </c>
      <c r="AO800" s="7" t="str">
        <f aca="false">IF(A800="","",IF(AG800&lt;&gt;"",1,0))</f>
        <v/>
      </c>
    </row>
    <row r="801" customFormat="false" ht="15" hidden="false" customHeight="false" outlineLevel="0" collapsed="false">
      <c r="AL801" s="7" t="str">
        <f aca="false">IF(A801="","",IF(COUNTIF(A801:A$2001,A801)=1,1,0))</f>
        <v/>
      </c>
      <c r="AM801" s="7" t="str">
        <f aca="true">IF(I801="","",TODAY()-I801)</f>
        <v/>
      </c>
      <c r="AN801" s="7" t="str">
        <f aca="false">IF(A801="","",IF(AND(E801&lt;&gt;"33 確認済",E801&lt;&gt;"36 送付中"),1,0))</f>
        <v/>
      </c>
      <c r="AO801" s="7" t="str">
        <f aca="false">IF(A801="","",IF(AG801&lt;&gt;"",1,0))</f>
        <v/>
      </c>
    </row>
    <row r="802" customFormat="false" ht="15" hidden="false" customHeight="false" outlineLevel="0" collapsed="false">
      <c r="AL802" s="7" t="str">
        <f aca="false">IF(A802="","",IF(COUNTIF(A802:A$2001,A802)=1,1,0))</f>
        <v/>
      </c>
      <c r="AM802" s="7" t="str">
        <f aca="true">IF(I802="","",TODAY()-I802)</f>
        <v/>
      </c>
      <c r="AN802" s="7" t="str">
        <f aca="false">IF(A802="","",IF(AND(E802&lt;&gt;"33 確認済",E802&lt;&gt;"36 送付中"),1,0))</f>
        <v/>
      </c>
      <c r="AO802" s="7" t="str">
        <f aca="false">IF(A802="","",IF(AG802&lt;&gt;"",1,0))</f>
        <v/>
      </c>
    </row>
    <row r="803" customFormat="false" ht="15" hidden="false" customHeight="false" outlineLevel="0" collapsed="false">
      <c r="AL803" s="7" t="str">
        <f aca="false">IF(A803="","",IF(COUNTIF(A803:A$2001,A803)=1,1,0))</f>
        <v/>
      </c>
      <c r="AM803" s="7" t="str">
        <f aca="true">IF(I803="","",TODAY()-I803)</f>
        <v/>
      </c>
      <c r="AN803" s="7" t="str">
        <f aca="false">IF(A803="","",IF(AND(E803&lt;&gt;"33 確認済",E803&lt;&gt;"36 送付中"),1,0))</f>
        <v/>
      </c>
      <c r="AO803" s="7" t="str">
        <f aca="false">IF(A803="","",IF(AG803&lt;&gt;"",1,0))</f>
        <v/>
      </c>
    </row>
    <row r="804" customFormat="false" ht="15" hidden="false" customHeight="false" outlineLevel="0" collapsed="false">
      <c r="AL804" s="7" t="str">
        <f aca="false">IF(A804="","",IF(COUNTIF(A804:A$2001,A804)=1,1,0))</f>
        <v/>
      </c>
      <c r="AM804" s="7" t="str">
        <f aca="true">IF(I804="","",TODAY()-I804)</f>
        <v/>
      </c>
      <c r="AN804" s="7" t="str">
        <f aca="false">IF(A804="","",IF(AND(E804&lt;&gt;"33 確認済",E804&lt;&gt;"36 送付中"),1,0))</f>
        <v/>
      </c>
      <c r="AO804" s="7" t="str">
        <f aca="false">IF(A804="","",IF(AG804&lt;&gt;"",1,0))</f>
        <v/>
      </c>
    </row>
    <row r="805" customFormat="false" ht="15" hidden="false" customHeight="false" outlineLevel="0" collapsed="false">
      <c r="AL805" s="7" t="str">
        <f aca="false">IF(A805="","",IF(COUNTIF(A805:A$2001,A805)=1,1,0))</f>
        <v/>
      </c>
      <c r="AM805" s="7" t="str">
        <f aca="true">IF(I805="","",TODAY()-I805)</f>
        <v/>
      </c>
      <c r="AN805" s="7" t="str">
        <f aca="false">IF(A805="","",IF(AND(E805&lt;&gt;"33 確認済",E805&lt;&gt;"36 送付中"),1,0))</f>
        <v/>
      </c>
      <c r="AO805" s="7" t="str">
        <f aca="false">IF(A805="","",IF(AG805&lt;&gt;"",1,0))</f>
        <v/>
      </c>
    </row>
    <row r="806" customFormat="false" ht="15" hidden="false" customHeight="false" outlineLevel="0" collapsed="false">
      <c r="AL806" s="7" t="str">
        <f aca="false">IF(A806="","",IF(COUNTIF(A806:A$2001,A806)=1,1,0))</f>
        <v/>
      </c>
      <c r="AM806" s="7" t="str">
        <f aca="true">IF(I806="","",TODAY()-I806)</f>
        <v/>
      </c>
      <c r="AN806" s="7" t="str">
        <f aca="false">IF(A806="","",IF(AND(E806&lt;&gt;"33 確認済",E806&lt;&gt;"36 送付中"),1,0))</f>
        <v/>
      </c>
      <c r="AO806" s="7" t="str">
        <f aca="false">IF(A806="","",IF(AG806&lt;&gt;"",1,0))</f>
        <v/>
      </c>
    </row>
    <row r="807" customFormat="false" ht="15" hidden="false" customHeight="false" outlineLevel="0" collapsed="false">
      <c r="AL807" s="7" t="str">
        <f aca="false">IF(A807="","",IF(COUNTIF(A807:A$2001,A807)=1,1,0))</f>
        <v/>
      </c>
      <c r="AM807" s="7" t="str">
        <f aca="true">IF(I807="","",TODAY()-I807)</f>
        <v/>
      </c>
      <c r="AN807" s="7" t="str">
        <f aca="false">IF(A807="","",IF(AND(E807&lt;&gt;"33 確認済",E807&lt;&gt;"36 送付中"),1,0))</f>
        <v/>
      </c>
      <c r="AO807" s="7" t="str">
        <f aca="false">IF(A807="","",IF(AG807&lt;&gt;"",1,0))</f>
        <v/>
      </c>
    </row>
    <row r="808" customFormat="false" ht="15" hidden="false" customHeight="false" outlineLevel="0" collapsed="false">
      <c r="AL808" s="7" t="str">
        <f aca="false">IF(A808="","",IF(COUNTIF(A808:A$2001,A808)=1,1,0))</f>
        <v/>
      </c>
      <c r="AM808" s="7" t="str">
        <f aca="true">IF(I808="","",TODAY()-I808)</f>
        <v/>
      </c>
      <c r="AN808" s="7" t="str">
        <f aca="false">IF(A808="","",IF(AND(E808&lt;&gt;"33 確認済",E808&lt;&gt;"36 送付中"),1,0))</f>
        <v/>
      </c>
      <c r="AO808" s="7" t="str">
        <f aca="false">IF(A808="","",IF(AG808&lt;&gt;"",1,0))</f>
        <v/>
      </c>
    </row>
    <row r="809" customFormat="false" ht="15" hidden="false" customHeight="false" outlineLevel="0" collapsed="false">
      <c r="AL809" s="7" t="str">
        <f aca="false">IF(A809="","",IF(COUNTIF(A809:A$2001,A809)=1,1,0))</f>
        <v/>
      </c>
      <c r="AM809" s="7" t="str">
        <f aca="true">IF(I809="","",TODAY()-I809)</f>
        <v/>
      </c>
      <c r="AN809" s="7" t="str">
        <f aca="false">IF(A809="","",IF(AND(E809&lt;&gt;"33 確認済",E809&lt;&gt;"36 送付中"),1,0))</f>
        <v/>
      </c>
      <c r="AO809" s="7" t="str">
        <f aca="false">IF(A809="","",IF(AG809&lt;&gt;"",1,0))</f>
        <v/>
      </c>
    </row>
    <row r="810" customFormat="false" ht="15" hidden="false" customHeight="false" outlineLevel="0" collapsed="false">
      <c r="AL810" s="7" t="str">
        <f aca="false">IF(A810="","",IF(COUNTIF(A810:A$2001,A810)=1,1,0))</f>
        <v/>
      </c>
      <c r="AM810" s="7" t="str">
        <f aca="true">IF(I810="","",TODAY()-I810)</f>
        <v/>
      </c>
      <c r="AN810" s="7" t="str">
        <f aca="false">IF(A810="","",IF(AND(E810&lt;&gt;"33 確認済",E810&lt;&gt;"36 送付中"),1,0))</f>
        <v/>
      </c>
      <c r="AO810" s="7" t="str">
        <f aca="false">IF(A810="","",IF(AG810&lt;&gt;"",1,0))</f>
        <v/>
      </c>
    </row>
    <row r="811" customFormat="false" ht="15" hidden="false" customHeight="false" outlineLevel="0" collapsed="false">
      <c r="AL811" s="7" t="str">
        <f aca="false">IF(A811="","",IF(COUNTIF(A811:A$2001,A811)=1,1,0))</f>
        <v/>
      </c>
      <c r="AM811" s="7" t="str">
        <f aca="true">IF(I811="","",TODAY()-I811)</f>
        <v/>
      </c>
      <c r="AN811" s="7" t="str">
        <f aca="false">IF(A811="","",IF(AND(E811&lt;&gt;"33 確認済",E811&lt;&gt;"36 送付中"),1,0))</f>
        <v/>
      </c>
      <c r="AO811" s="7" t="str">
        <f aca="false">IF(A811="","",IF(AG811&lt;&gt;"",1,0))</f>
        <v/>
      </c>
    </row>
    <row r="812" customFormat="false" ht="15" hidden="false" customHeight="false" outlineLevel="0" collapsed="false">
      <c r="AL812" s="7" t="str">
        <f aca="false">IF(A812="","",IF(COUNTIF(A812:A$2001,A812)=1,1,0))</f>
        <v/>
      </c>
      <c r="AM812" s="7" t="str">
        <f aca="true">IF(I812="","",TODAY()-I812)</f>
        <v/>
      </c>
      <c r="AN812" s="7" t="str">
        <f aca="false">IF(A812="","",IF(AND(E812&lt;&gt;"33 確認済",E812&lt;&gt;"36 送付中"),1,0))</f>
        <v/>
      </c>
      <c r="AO812" s="7" t="str">
        <f aca="false">IF(A812="","",IF(AG812&lt;&gt;"",1,0))</f>
        <v/>
      </c>
    </row>
    <row r="813" customFormat="false" ht="15" hidden="false" customHeight="false" outlineLevel="0" collapsed="false">
      <c r="AL813" s="7" t="str">
        <f aca="false">IF(A813="","",IF(COUNTIF(A813:A$2001,A813)=1,1,0))</f>
        <v/>
      </c>
      <c r="AM813" s="7" t="str">
        <f aca="true">IF(I813="","",TODAY()-I813)</f>
        <v/>
      </c>
      <c r="AN813" s="7" t="str">
        <f aca="false">IF(A813="","",IF(AND(E813&lt;&gt;"33 確認済",E813&lt;&gt;"36 送付中"),1,0))</f>
        <v/>
      </c>
      <c r="AO813" s="7" t="str">
        <f aca="false">IF(A813="","",IF(AG813&lt;&gt;"",1,0))</f>
        <v/>
      </c>
    </row>
    <row r="814" customFormat="false" ht="15" hidden="false" customHeight="false" outlineLevel="0" collapsed="false">
      <c r="AL814" s="7" t="str">
        <f aca="false">IF(A814="","",IF(COUNTIF(A814:A$2001,A814)=1,1,0))</f>
        <v/>
      </c>
      <c r="AM814" s="7" t="str">
        <f aca="true">IF(I814="","",TODAY()-I814)</f>
        <v/>
      </c>
      <c r="AN814" s="7" t="str">
        <f aca="false">IF(A814="","",IF(AND(E814&lt;&gt;"33 確認済",E814&lt;&gt;"36 送付中"),1,0))</f>
        <v/>
      </c>
      <c r="AO814" s="7" t="str">
        <f aca="false">IF(A814="","",IF(AG814&lt;&gt;"",1,0))</f>
        <v/>
      </c>
    </row>
    <row r="815" customFormat="false" ht="15" hidden="false" customHeight="false" outlineLevel="0" collapsed="false">
      <c r="AL815" s="7" t="str">
        <f aca="false">IF(A815="","",IF(COUNTIF(A815:A$2001,A815)=1,1,0))</f>
        <v/>
      </c>
      <c r="AM815" s="7" t="str">
        <f aca="true">IF(I815="","",TODAY()-I815)</f>
        <v/>
      </c>
      <c r="AN815" s="7" t="str">
        <f aca="false">IF(A815="","",IF(AND(E815&lt;&gt;"33 確認済",E815&lt;&gt;"36 送付中"),1,0))</f>
        <v/>
      </c>
      <c r="AO815" s="7" t="str">
        <f aca="false">IF(A815="","",IF(AG815&lt;&gt;"",1,0))</f>
        <v/>
      </c>
    </row>
    <row r="816" customFormat="false" ht="15" hidden="false" customHeight="false" outlineLevel="0" collapsed="false">
      <c r="AL816" s="7" t="str">
        <f aca="false">IF(A816="","",IF(COUNTIF(A816:A$2001,A816)=1,1,0))</f>
        <v/>
      </c>
      <c r="AM816" s="7" t="str">
        <f aca="true">IF(I816="","",TODAY()-I816)</f>
        <v/>
      </c>
      <c r="AN816" s="7" t="str">
        <f aca="false">IF(A816="","",IF(AND(E816&lt;&gt;"33 確認済",E816&lt;&gt;"36 送付中"),1,0))</f>
        <v/>
      </c>
      <c r="AO816" s="7" t="str">
        <f aca="false">IF(A816="","",IF(AG816&lt;&gt;"",1,0))</f>
        <v/>
      </c>
    </row>
    <row r="817" customFormat="false" ht="15" hidden="false" customHeight="false" outlineLevel="0" collapsed="false">
      <c r="AL817" s="7" t="str">
        <f aca="false">IF(A817="","",IF(COUNTIF(A817:A$2001,A817)=1,1,0))</f>
        <v/>
      </c>
      <c r="AM817" s="7" t="str">
        <f aca="true">IF(I817="","",TODAY()-I817)</f>
        <v/>
      </c>
      <c r="AN817" s="7" t="str">
        <f aca="false">IF(A817="","",IF(AND(E817&lt;&gt;"33 確認済",E817&lt;&gt;"36 送付中"),1,0))</f>
        <v/>
      </c>
      <c r="AO817" s="7" t="str">
        <f aca="false">IF(A817="","",IF(AG817&lt;&gt;"",1,0))</f>
        <v/>
      </c>
    </row>
    <row r="818" customFormat="false" ht="15" hidden="false" customHeight="false" outlineLevel="0" collapsed="false">
      <c r="AL818" s="7" t="str">
        <f aca="false">IF(A818="","",IF(COUNTIF(A818:A$2001,A818)=1,1,0))</f>
        <v/>
      </c>
      <c r="AM818" s="7" t="str">
        <f aca="true">IF(I818="","",TODAY()-I818)</f>
        <v/>
      </c>
      <c r="AN818" s="7" t="str">
        <f aca="false">IF(A818="","",IF(AND(E818&lt;&gt;"33 確認済",E818&lt;&gt;"36 送付中"),1,0))</f>
        <v/>
      </c>
      <c r="AO818" s="7" t="str">
        <f aca="false">IF(A818="","",IF(AG818&lt;&gt;"",1,0))</f>
        <v/>
      </c>
    </row>
    <row r="819" customFormat="false" ht="15" hidden="false" customHeight="false" outlineLevel="0" collapsed="false">
      <c r="AL819" s="7" t="str">
        <f aca="false">IF(A819="","",IF(COUNTIF(A819:A$2001,A819)=1,1,0))</f>
        <v/>
      </c>
      <c r="AM819" s="7" t="str">
        <f aca="true">IF(I819="","",TODAY()-I819)</f>
        <v/>
      </c>
      <c r="AN819" s="7" t="str">
        <f aca="false">IF(A819="","",IF(AND(E819&lt;&gt;"33 確認済",E819&lt;&gt;"36 送付中"),1,0))</f>
        <v/>
      </c>
      <c r="AO819" s="7" t="str">
        <f aca="false">IF(A819="","",IF(AG819&lt;&gt;"",1,0))</f>
        <v/>
      </c>
    </row>
    <row r="820" customFormat="false" ht="15" hidden="false" customHeight="false" outlineLevel="0" collapsed="false">
      <c r="AL820" s="7" t="str">
        <f aca="false">IF(A820="","",IF(COUNTIF(A820:A$2001,A820)=1,1,0))</f>
        <v/>
      </c>
      <c r="AM820" s="7" t="str">
        <f aca="true">IF(I820="","",TODAY()-I820)</f>
        <v/>
      </c>
      <c r="AN820" s="7" t="str">
        <f aca="false">IF(A820="","",IF(AND(E820&lt;&gt;"33 確認済",E820&lt;&gt;"36 送付中"),1,0))</f>
        <v/>
      </c>
      <c r="AO820" s="7" t="str">
        <f aca="false">IF(A820="","",IF(AG820&lt;&gt;"",1,0))</f>
        <v/>
      </c>
    </row>
    <row r="821" customFormat="false" ht="15" hidden="false" customHeight="false" outlineLevel="0" collapsed="false">
      <c r="AL821" s="7" t="str">
        <f aca="false">IF(A821="","",IF(COUNTIF(A821:A$2001,A821)=1,1,0))</f>
        <v/>
      </c>
      <c r="AM821" s="7" t="str">
        <f aca="true">IF(I821="","",TODAY()-I821)</f>
        <v/>
      </c>
      <c r="AN821" s="7" t="str">
        <f aca="false">IF(A821="","",IF(AND(E821&lt;&gt;"33 確認済",E821&lt;&gt;"36 送付中"),1,0))</f>
        <v/>
      </c>
      <c r="AO821" s="7" t="str">
        <f aca="false">IF(A821="","",IF(AG821&lt;&gt;"",1,0))</f>
        <v/>
      </c>
    </row>
    <row r="822" customFormat="false" ht="15" hidden="false" customHeight="false" outlineLevel="0" collapsed="false">
      <c r="AL822" s="7" t="str">
        <f aca="false">IF(A822="","",IF(COUNTIF(A822:A$2001,A822)=1,1,0))</f>
        <v/>
      </c>
      <c r="AM822" s="7" t="str">
        <f aca="true">IF(I822="","",TODAY()-I822)</f>
        <v/>
      </c>
      <c r="AN822" s="7" t="str">
        <f aca="false">IF(A822="","",IF(AND(E822&lt;&gt;"33 確認済",E822&lt;&gt;"36 送付中"),1,0))</f>
        <v/>
      </c>
      <c r="AO822" s="7" t="str">
        <f aca="false">IF(A822="","",IF(AG822&lt;&gt;"",1,0))</f>
        <v/>
      </c>
    </row>
    <row r="823" customFormat="false" ht="15" hidden="false" customHeight="false" outlineLevel="0" collapsed="false">
      <c r="AL823" s="7" t="str">
        <f aca="false">IF(A823="","",IF(COUNTIF(A823:A$2001,A823)=1,1,0))</f>
        <v/>
      </c>
      <c r="AM823" s="7" t="str">
        <f aca="true">IF(I823="","",TODAY()-I823)</f>
        <v/>
      </c>
      <c r="AN823" s="7" t="str">
        <f aca="false">IF(A823="","",IF(AND(E823&lt;&gt;"33 確認済",E823&lt;&gt;"36 送付中"),1,0))</f>
        <v/>
      </c>
      <c r="AO823" s="7" t="str">
        <f aca="false">IF(A823="","",IF(AG823&lt;&gt;"",1,0))</f>
        <v/>
      </c>
    </row>
    <row r="824" customFormat="false" ht="15" hidden="false" customHeight="false" outlineLevel="0" collapsed="false">
      <c r="AL824" s="7" t="str">
        <f aca="false">IF(A824="","",IF(COUNTIF(A824:A$2001,A824)=1,1,0))</f>
        <v/>
      </c>
      <c r="AM824" s="7" t="str">
        <f aca="true">IF(I824="","",TODAY()-I824)</f>
        <v/>
      </c>
      <c r="AN824" s="7" t="str">
        <f aca="false">IF(A824="","",IF(AND(E824&lt;&gt;"33 確認済",E824&lt;&gt;"36 送付中"),1,0))</f>
        <v/>
      </c>
      <c r="AO824" s="7" t="str">
        <f aca="false">IF(A824="","",IF(AG824&lt;&gt;"",1,0))</f>
        <v/>
      </c>
    </row>
    <row r="825" customFormat="false" ht="15" hidden="false" customHeight="false" outlineLevel="0" collapsed="false">
      <c r="AL825" s="7" t="str">
        <f aca="false">IF(A825="","",IF(COUNTIF(A825:A$2001,A825)=1,1,0))</f>
        <v/>
      </c>
      <c r="AM825" s="7" t="str">
        <f aca="true">IF(I825="","",TODAY()-I825)</f>
        <v/>
      </c>
      <c r="AN825" s="7" t="str">
        <f aca="false">IF(A825="","",IF(AND(E825&lt;&gt;"33 確認済",E825&lt;&gt;"36 送付中"),1,0))</f>
        <v/>
      </c>
      <c r="AO825" s="7" t="str">
        <f aca="false">IF(A825="","",IF(AG825&lt;&gt;"",1,0))</f>
        <v/>
      </c>
    </row>
    <row r="826" customFormat="false" ht="15" hidden="false" customHeight="false" outlineLevel="0" collapsed="false">
      <c r="AL826" s="7" t="str">
        <f aca="false">IF(A826="","",IF(COUNTIF(A826:A$2001,A826)=1,1,0))</f>
        <v/>
      </c>
      <c r="AM826" s="7" t="str">
        <f aca="true">IF(I826="","",TODAY()-I826)</f>
        <v/>
      </c>
      <c r="AN826" s="7" t="str">
        <f aca="false">IF(A826="","",IF(AND(E826&lt;&gt;"33 確認済",E826&lt;&gt;"36 送付中"),1,0))</f>
        <v/>
      </c>
      <c r="AO826" s="7" t="str">
        <f aca="false">IF(A826="","",IF(AG826&lt;&gt;"",1,0))</f>
        <v/>
      </c>
    </row>
    <row r="827" customFormat="false" ht="15" hidden="false" customHeight="false" outlineLevel="0" collapsed="false">
      <c r="AL827" s="7" t="str">
        <f aca="false">IF(A827="","",IF(COUNTIF(A827:A$2001,A827)=1,1,0))</f>
        <v/>
      </c>
      <c r="AM827" s="7" t="str">
        <f aca="true">IF(I827="","",TODAY()-I827)</f>
        <v/>
      </c>
      <c r="AN827" s="7" t="str">
        <f aca="false">IF(A827="","",IF(AND(E827&lt;&gt;"33 確認済",E827&lt;&gt;"36 送付中"),1,0))</f>
        <v/>
      </c>
      <c r="AO827" s="7" t="str">
        <f aca="false">IF(A827="","",IF(AG827&lt;&gt;"",1,0))</f>
        <v/>
      </c>
    </row>
    <row r="828" customFormat="false" ht="15" hidden="false" customHeight="false" outlineLevel="0" collapsed="false">
      <c r="AL828" s="7" t="str">
        <f aca="false">IF(A828="","",IF(COUNTIF(A828:A$2001,A828)=1,1,0))</f>
        <v/>
      </c>
      <c r="AM828" s="7" t="str">
        <f aca="true">IF(I828="","",TODAY()-I828)</f>
        <v/>
      </c>
      <c r="AN828" s="7" t="str">
        <f aca="false">IF(A828="","",IF(AND(E828&lt;&gt;"33 確認済",E828&lt;&gt;"36 送付中"),1,0))</f>
        <v/>
      </c>
      <c r="AO828" s="7" t="str">
        <f aca="false">IF(A828="","",IF(AG828&lt;&gt;"",1,0))</f>
        <v/>
      </c>
    </row>
    <row r="829" customFormat="false" ht="15" hidden="false" customHeight="false" outlineLevel="0" collapsed="false">
      <c r="AL829" s="7" t="str">
        <f aca="false">IF(A829="","",IF(COUNTIF(A829:A$2001,A829)=1,1,0))</f>
        <v/>
      </c>
      <c r="AM829" s="7" t="str">
        <f aca="true">IF(I829="","",TODAY()-I829)</f>
        <v/>
      </c>
      <c r="AN829" s="7" t="str">
        <f aca="false">IF(A829="","",IF(AND(E829&lt;&gt;"33 確認済",E829&lt;&gt;"36 送付中"),1,0))</f>
        <v/>
      </c>
      <c r="AO829" s="7" t="str">
        <f aca="false">IF(A829="","",IF(AG829&lt;&gt;"",1,0))</f>
        <v/>
      </c>
    </row>
    <row r="830" customFormat="false" ht="15" hidden="false" customHeight="false" outlineLevel="0" collapsed="false">
      <c r="AL830" s="7" t="str">
        <f aca="false">IF(A830="","",IF(COUNTIF(A830:A$2001,A830)=1,1,0))</f>
        <v/>
      </c>
      <c r="AM830" s="7" t="str">
        <f aca="true">IF(I830="","",TODAY()-I830)</f>
        <v/>
      </c>
      <c r="AN830" s="7" t="str">
        <f aca="false">IF(A830="","",IF(AND(E830&lt;&gt;"33 確認済",E830&lt;&gt;"36 送付中"),1,0))</f>
        <v/>
      </c>
      <c r="AO830" s="7" t="str">
        <f aca="false">IF(A830="","",IF(AG830&lt;&gt;"",1,0))</f>
        <v/>
      </c>
    </row>
    <row r="831" customFormat="false" ht="15" hidden="false" customHeight="false" outlineLevel="0" collapsed="false">
      <c r="AL831" s="7" t="str">
        <f aca="false">IF(A831="","",IF(COUNTIF(A831:A$2001,A831)=1,1,0))</f>
        <v/>
      </c>
      <c r="AM831" s="7" t="str">
        <f aca="true">IF(I831="","",TODAY()-I831)</f>
        <v/>
      </c>
      <c r="AN831" s="7" t="str">
        <f aca="false">IF(A831="","",IF(AND(E831&lt;&gt;"33 確認済",E831&lt;&gt;"36 送付中"),1,0))</f>
        <v/>
      </c>
      <c r="AO831" s="7" t="str">
        <f aca="false">IF(A831="","",IF(AG831&lt;&gt;"",1,0))</f>
        <v/>
      </c>
    </row>
    <row r="832" customFormat="false" ht="15" hidden="false" customHeight="false" outlineLevel="0" collapsed="false">
      <c r="AL832" s="7" t="str">
        <f aca="false">IF(A832="","",IF(COUNTIF(A832:A$2001,A832)=1,1,0))</f>
        <v/>
      </c>
      <c r="AM832" s="7" t="str">
        <f aca="true">IF(I832="","",TODAY()-I832)</f>
        <v/>
      </c>
      <c r="AN832" s="7" t="str">
        <f aca="false">IF(A832="","",IF(AND(E832&lt;&gt;"33 確認済",E832&lt;&gt;"36 送付中"),1,0))</f>
        <v/>
      </c>
      <c r="AO832" s="7" t="str">
        <f aca="false">IF(A832="","",IF(AG832&lt;&gt;"",1,0))</f>
        <v/>
      </c>
    </row>
    <row r="833" customFormat="false" ht="15" hidden="false" customHeight="false" outlineLevel="0" collapsed="false">
      <c r="AL833" s="7" t="str">
        <f aca="false">IF(A833="","",IF(COUNTIF(A833:A$2001,A833)=1,1,0))</f>
        <v/>
      </c>
      <c r="AM833" s="7" t="str">
        <f aca="true">IF(I833="","",TODAY()-I833)</f>
        <v/>
      </c>
      <c r="AN833" s="7" t="str">
        <f aca="false">IF(A833="","",IF(AND(E833&lt;&gt;"33 確認済",E833&lt;&gt;"36 送付中"),1,0))</f>
        <v/>
      </c>
      <c r="AO833" s="7" t="str">
        <f aca="false">IF(A833="","",IF(AG833&lt;&gt;"",1,0))</f>
        <v/>
      </c>
    </row>
    <row r="834" customFormat="false" ht="15" hidden="false" customHeight="false" outlineLevel="0" collapsed="false">
      <c r="AL834" s="7" t="str">
        <f aca="false">IF(A834="","",IF(COUNTIF(A834:A$2001,A834)=1,1,0))</f>
        <v/>
      </c>
      <c r="AM834" s="7" t="str">
        <f aca="true">IF(I834="","",TODAY()-I834)</f>
        <v/>
      </c>
      <c r="AN834" s="7" t="str">
        <f aca="false">IF(A834="","",IF(AND(E834&lt;&gt;"33 確認済",E834&lt;&gt;"36 送付中"),1,0))</f>
        <v/>
      </c>
      <c r="AO834" s="7" t="str">
        <f aca="false">IF(A834="","",IF(AG834&lt;&gt;"",1,0))</f>
        <v/>
      </c>
    </row>
    <row r="835" customFormat="false" ht="15" hidden="false" customHeight="false" outlineLevel="0" collapsed="false">
      <c r="AL835" s="7" t="str">
        <f aca="false">IF(A835="","",IF(COUNTIF(A835:A$2001,A835)=1,1,0))</f>
        <v/>
      </c>
      <c r="AM835" s="7" t="str">
        <f aca="true">IF(I835="","",TODAY()-I835)</f>
        <v/>
      </c>
      <c r="AN835" s="7" t="str">
        <f aca="false">IF(A835="","",IF(AND(E835&lt;&gt;"33 確認済",E835&lt;&gt;"36 送付中"),1,0))</f>
        <v/>
      </c>
      <c r="AO835" s="7" t="str">
        <f aca="false">IF(A835="","",IF(AG835&lt;&gt;"",1,0))</f>
        <v/>
      </c>
    </row>
    <row r="836" customFormat="false" ht="15" hidden="false" customHeight="false" outlineLevel="0" collapsed="false">
      <c r="AL836" s="7" t="str">
        <f aca="false">IF(A836="","",IF(COUNTIF(A836:A$2001,A836)=1,1,0))</f>
        <v/>
      </c>
      <c r="AM836" s="7" t="str">
        <f aca="true">IF(I836="","",TODAY()-I836)</f>
        <v/>
      </c>
      <c r="AN836" s="7" t="str">
        <f aca="false">IF(A836="","",IF(AND(E836&lt;&gt;"33 確認済",E836&lt;&gt;"36 送付中"),1,0))</f>
        <v/>
      </c>
      <c r="AO836" s="7" t="str">
        <f aca="false">IF(A836="","",IF(AG836&lt;&gt;"",1,0))</f>
        <v/>
      </c>
    </row>
    <row r="837" customFormat="false" ht="15" hidden="false" customHeight="false" outlineLevel="0" collapsed="false">
      <c r="AL837" s="7" t="str">
        <f aca="false">IF(A837="","",IF(COUNTIF(A837:A$2001,A837)=1,1,0))</f>
        <v/>
      </c>
      <c r="AM837" s="7" t="str">
        <f aca="true">IF(I837="","",TODAY()-I837)</f>
        <v/>
      </c>
      <c r="AN837" s="7" t="str">
        <f aca="false">IF(A837="","",IF(AND(E837&lt;&gt;"33 確認済",E837&lt;&gt;"36 送付中"),1,0))</f>
        <v/>
      </c>
      <c r="AO837" s="7" t="str">
        <f aca="false">IF(A837="","",IF(AG837&lt;&gt;"",1,0))</f>
        <v/>
      </c>
    </row>
    <row r="838" customFormat="false" ht="15" hidden="false" customHeight="false" outlineLevel="0" collapsed="false">
      <c r="AL838" s="7" t="str">
        <f aca="false">IF(A838="","",IF(COUNTIF(A838:A$2001,A838)=1,1,0))</f>
        <v/>
      </c>
      <c r="AM838" s="7" t="str">
        <f aca="true">IF(I838="","",TODAY()-I838)</f>
        <v/>
      </c>
      <c r="AN838" s="7" t="str">
        <f aca="false">IF(A838="","",IF(AND(E838&lt;&gt;"33 確認済",E838&lt;&gt;"36 送付中"),1,0))</f>
        <v/>
      </c>
      <c r="AO838" s="7" t="str">
        <f aca="false">IF(A838="","",IF(AG838&lt;&gt;"",1,0))</f>
        <v/>
      </c>
    </row>
    <row r="839" customFormat="false" ht="15" hidden="false" customHeight="false" outlineLevel="0" collapsed="false">
      <c r="AL839" s="7" t="str">
        <f aca="false">IF(A839="","",IF(COUNTIF(A839:A$2001,A839)=1,1,0))</f>
        <v/>
      </c>
      <c r="AM839" s="7" t="str">
        <f aca="true">IF(I839="","",TODAY()-I839)</f>
        <v/>
      </c>
      <c r="AN839" s="7" t="str">
        <f aca="false">IF(A839="","",IF(AND(E839&lt;&gt;"33 確認済",E839&lt;&gt;"36 送付中"),1,0))</f>
        <v/>
      </c>
      <c r="AO839" s="7" t="str">
        <f aca="false">IF(A839="","",IF(AG839&lt;&gt;"",1,0))</f>
        <v/>
      </c>
    </row>
    <row r="840" customFormat="false" ht="15" hidden="false" customHeight="false" outlineLevel="0" collapsed="false">
      <c r="AL840" s="7" t="str">
        <f aca="false">IF(A840="","",IF(COUNTIF(A840:A$2001,A840)=1,1,0))</f>
        <v/>
      </c>
      <c r="AM840" s="7" t="str">
        <f aca="true">IF(I840="","",TODAY()-I840)</f>
        <v/>
      </c>
      <c r="AN840" s="7" t="str">
        <f aca="false">IF(A840="","",IF(AND(E840&lt;&gt;"33 確認済",E840&lt;&gt;"36 送付中"),1,0))</f>
        <v/>
      </c>
      <c r="AO840" s="7" t="str">
        <f aca="false">IF(A840="","",IF(AG840&lt;&gt;"",1,0))</f>
        <v/>
      </c>
    </row>
    <row r="841" customFormat="false" ht="15" hidden="false" customHeight="false" outlineLevel="0" collapsed="false">
      <c r="AL841" s="7" t="str">
        <f aca="false">IF(A841="","",IF(COUNTIF(A841:A$2001,A841)=1,1,0))</f>
        <v/>
      </c>
      <c r="AM841" s="7" t="str">
        <f aca="true">IF(I841="","",TODAY()-I841)</f>
        <v/>
      </c>
      <c r="AN841" s="7" t="str">
        <f aca="false">IF(A841="","",IF(AND(E841&lt;&gt;"33 確認済",E841&lt;&gt;"36 送付中"),1,0))</f>
        <v/>
      </c>
      <c r="AO841" s="7" t="str">
        <f aca="false">IF(A841="","",IF(AG841&lt;&gt;"",1,0))</f>
        <v/>
      </c>
    </row>
    <row r="842" customFormat="false" ht="15" hidden="false" customHeight="false" outlineLevel="0" collapsed="false">
      <c r="AL842" s="7" t="str">
        <f aca="false">IF(A842="","",IF(COUNTIF(A842:A$2001,A842)=1,1,0))</f>
        <v/>
      </c>
      <c r="AM842" s="7" t="str">
        <f aca="true">IF(I842="","",TODAY()-I842)</f>
        <v/>
      </c>
      <c r="AN842" s="7" t="str">
        <f aca="false">IF(A842="","",IF(AND(E842&lt;&gt;"33 確認済",E842&lt;&gt;"36 送付中"),1,0))</f>
        <v/>
      </c>
      <c r="AO842" s="7" t="str">
        <f aca="false">IF(A842="","",IF(AG842&lt;&gt;"",1,0))</f>
        <v/>
      </c>
    </row>
    <row r="843" customFormat="false" ht="15" hidden="false" customHeight="false" outlineLevel="0" collapsed="false">
      <c r="AL843" s="7" t="str">
        <f aca="false">IF(A843="","",IF(COUNTIF(A843:A$2001,A843)=1,1,0))</f>
        <v/>
      </c>
      <c r="AM843" s="7" t="str">
        <f aca="true">IF(I843="","",TODAY()-I843)</f>
        <v/>
      </c>
      <c r="AN843" s="7" t="str">
        <f aca="false">IF(A843="","",IF(AND(E843&lt;&gt;"33 確認済",E843&lt;&gt;"36 送付中"),1,0))</f>
        <v/>
      </c>
      <c r="AO843" s="7" t="str">
        <f aca="false">IF(A843="","",IF(AG843&lt;&gt;"",1,0))</f>
        <v/>
      </c>
    </row>
    <row r="844" customFormat="false" ht="15" hidden="false" customHeight="false" outlineLevel="0" collapsed="false">
      <c r="AL844" s="7" t="str">
        <f aca="false">IF(A844="","",IF(COUNTIF(A844:A$2001,A844)=1,1,0))</f>
        <v/>
      </c>
      <c r="AM844" s="7" t="str">
        <f aca="true">IF(I844="","",TODAY()-I844)</f>
        <v/>
      </c>
      <c r="AN844" s="7" t="str">
        <f aca="false">IF(A844="","",IF(AND(E844&lt;&gt;"33 確認済",E844&lt;&gt;"36 送付中"),1,0))</f>
        <v/>
      </c>
      <c r="AO844" s="7" t="str">
        <f aca="false">IF(A844="","",IF(AG844&lt;&gt;"",1,0))</f>
        <v/>
      </c>
    </row>
    <row r="845" customFormat="false" ht="15" hidden="false" customHeight="false" outlineLevel="0" collapsed="false">
      <c r="AL845" s="7" t="str">
        <f aca="false">IF(A845="","",IF(COUNTIF(A845:A$2001,A845)=1,1,0))</f>
        <v/>
      </c>
      <c r="AM845" s="7" t="str">
        <f aca="true">IF(I845="","",TODAY()-I845)</f>
        <v/>
      </c>
      <c r="AN845" s="7" t="str">
        <f aca="false">IF(A845="","",IF(AND(E845&lt;&gt;"33 確認済",E845&lt;&gt;"36 送付中"),1,0))</f>
        <v/>
      </c>
      <c r="AO845" s="7" t="str">
        <f aca="false">IF(A845="","",IF(AG845&lt;&gt;"",1,0))</f>
        <v/>
      </c>
    </row>
    <row r="846" customFormat="false" ht="15" hidden="false" customHeight="false" outlineLevel="0" collapsed="false">
      <c r="AL846" s="7" t="str">
        <f aca="false">IF(A846="","",IF(COUNTIF(A846:A$2001,A846)=1,1,0))</f>
        <v/>
      </c>
      <c r="AM846" s="7" t="str">
        <f aca="true">IF(I846="","",TODAY()-I846)</f>
        <v/>
      </c>
      <c r="AN846" s="7" t="str">
        <f aca="false">IF(A846="","",IF(AND(E846&lt;&gt;"33 確認済",E846&lt;&gt;"36 送付中"),1,0))</f>
        <v/>
      </c>
      <c r="AO846" s="7" t="str">
        <f aca="false">IF(A846="","",IF(AG846&lt;&gt;"",1,0))</f>
        <v/>
      </c>
    </row>
    <row r="847" customFormat="false" ht="15" hidden="false" customHeight="false" outlineLevel="0" collapsed="false">
      <c r="AL847" s="7" t="str">
        <f aca="false">IF(A847="","",IF(COUNTIF(A847:A$2001,A847)=1,1,0))</f>
        <v/>
      </c>
      <c r="AM847" s="7" t="str">
        <f aca="true">IF(I847="","",TODAY()-I847)</f>
        <v/>
      </c>
      <c r="AN847" s="7" t="str">
        <f aca="false">IF(A847="","",IF(AND(E847&lt;&gt;"33 確認済",E847&lt;&gt;"36 送付中"),1,0))</f>
        <v/>
      </c>
      <c r="AO847" s="7" t="str">
        <f aca="false">IF(A847="","",IF(AG847&lt;&gt;"",1,0))</f>
        <v/>
      </c>
    </row>
    <row r="848" customFormat="false" ht="15" hidden="false" customHeight="false" outlineLevel="0" collapsed="false">
      <c r="AL848" s="7" t="str">
        <f aca="false">IF(A848="","",IF(COUNTIF(A848:A$2001,A848)=1,1,0))</f>
        <v/>
      </c>
      <c r="AM848" s="7" t="str">
        <f aca="true">IF(I848="","",TODAY()-I848)</f>
        <v/>
      </c>
      <c r="AN848" s="7" t="str">
        <f aca="false">IF(A848="","",IF(AND(E848&lt;&gt;"33 確認済",E848&lt;&gt;"36 送付中"),1,0))</f>
        <v/>
      </c>
      <c r="AO848" s="7" t="str">
        <f aca="false">IF(A848="","",IF(AG848&lt;&gt;"",1,0))</f>
        <v/>
      </c>
    </row>
    <row r="849" customFormat="false" ht="15" hidden="false" customHeight="false" outlineLevel="0" collapsed="false">
      <c r="AL849" s="7" t="str">
        <f aca="false">IF(A849="","",IF(COUNTIF(A849:A$2001,A849)=1,1,0))</f>
        <v/>
      </c>
      <c r="AM849" s="7" t="str">
        <f aca="true">IF(I849="","",TODAY()-I849)</f>
        <v/>
      </c>
      <c r="AN849" s="7" t="str">
        <f aca="false">IF(A849="","",IF(AND(E849&lt;&gt;"33 確認済",E849&lt;&gt;"36 送付中"),1,0))</f>
        <v/>
      </c>
      <c r="AO849" s="7" t="str">
        <f aca="false">IF(A849="","",IF(AG849&lt;&gt;"",1,0))</f>
        <v/>
      </c>
    </row>
    <row r="850" customFormat="false" ht="15" hidden="false" customHeight="false" outlineLevel="0" collapsed="false">
      <c r="AL850" s="7" t="str">
        <f aca="false">IF(A850="","",IF(COUNTIF(A850:A$2001,A850)=1,1,0))</f>
        <v/>
      </c>
      <c r="AM850" s="7" t="str">
        <f aca="true">IF(I850="","",TODAY()-I850)</f>
        <v/>
      </c>
      <c r="AN850" s="7" t="str">
        <f aca="false">IF(A850="","",IF(AND(E850&lt;&gt;"33 確認済",E850&lt;&gt;"36 送付中"),1,0))</f>
        <v/>
      </c>
      <c r="AO850" s="7" t="str">
        <f aca="false">IF(A850="","",IF(AG850&lt;&gt;"",1,0))</f>
        <v/>
      </c>
    </row>
    <row r="851" customFormat="false" ht="15" hidden="false" customHeight="false" outlineLevel="0" collapsed="false">
      <c r="AL851" s="7" t="str">
        <f aca="false">IF(A851="","",IF(COUNTIF(A851:A$2001,A851)=1,1,0))</f>
        <v/>
      </c>
      <c r="AM851" s="7" t="str">
        <f aca="true">IF(I851="","",TODAY()-I851)</f>
        <v/>
      </c>
      <c r="AN851" s="7" t="str">
        <f aca="false">IF(A851="","",IF(AND(E851&lt;&gt;"33 確認済",E851&lt;&gt;"36 送付中"),1,0))</f>
        <v/>
      </c>
      <c r="AO851" s="7" t="str">
        <f aca="false">IF(A851="","",IF(AG851&lt;&gt;"",1,0))</f>
        <v/>
      </c>
    </row>
    <row r="852" customFormat="false" ht="15" hidden="false" customHeight="false" outlineLevel="0" collapsed="false">
      <c r="AL852" s="7" t="str">
        <f aca="false">IF(A852="","",IF(COUNTIF(A852:A$2001,A852)=1,1,0))</f>
        <v/>
      </c>
      <c r="AM852" s="7" t="str">
        <f aca="true">IF(I852="","",TODAY()-I852)</f>
        <v/>
      </c>
      <c r="AN852" s="7" t="str">
        <f aca="false">IF(A852="","",IF(AND(E852&lt;&gt;"33 確認済",E852&lt;&gt;"36 送付中"),1,0))</f>
        <v/>
      </c>
      <c r="AO852" s="7" t="str">
        <f aca="false">IF(A852="","",IF(AG852&lt;&gt;"",1,0))</f>
        <v/>
      </c>
    </row>
    <row r="853" customFormat="false" ht="15" hidden="false" customHeight="false" outlineLevel="0" collapsed="false">
      <c r="AL853" s="7" t="str">
        <f aca="false">IF(A853="","",IF(COUNTIF(A853:A$2001,A853)=1,1,0))</f>
        <v/>
      </c>
      <c r="AM853" s="7" t="str">
        <f aca="true">IF(I853="","",TODAY()-I853)</f>
        <v/>
      </c>
      <c r="AN853" s="7" t="str">
        <f aca="false">IF(A853="","",IF(AND(E853&lt;&gt;"33 確認済",E853&lt;&gt;"36 送付中"),1,0))</f>
        <v/>
      </c>
      <c r="AO853" s="7" t="str">
        <f aca="false">IF(A853="","",IF(AG853&lt;&gt;"",1,0))</f>
        <v/>
      </c>
    </row>
    <row r="854" customFormat="false" ht="15" hidden="false" customHeight="false" outlineLevel="0" collapsed="false">
      <c r="AL854" s="7" t="str">
        <f aca="false">IF(A854="","",IF(COUNTIF(A854:A$2001,A854)=1,1,0))</f>
        <v/>
      </c>
      <c r="AM854" s="7" t="str">
        <f aca="true">IF(I854="","",TODAY()-I854)</f>
        <v/>
      </c>
      <c r="AN854" s="7" t="str">
        <f aca="false">IF(A854="","",IF(AND(E854&lt;&gt;"33 確認済",E854&lt;&gt;"36 送付中"),1,0))</f>
        <v/>
      </c>
      <c r="AO854" s="7" t="str">
        <f aca="false">IF(A854="","",IF(AG854&lt;&gt;"",1,0))</f>
        <v/>
      </c>
    </row>
    <row r="855" customFormat="false" ht="15" hidden="false" customHeight="false" outlineLevel="0" collapsed="false">
      <c r="AL855" s="7" t="str">
        <f aca="false">IF(A855="","",IF(COUNTIF(A855:A$2001,A855)=1,1,0))</f>
        <v/>
      </c>
      <c r="AM855" s="7" t="str">
        <f aca="true">IF(I855="","",TODAY()-I855)</f>
        <v/>
      </c>
      <c r="AN855" s="7" t="str">
        <f aca="false">IF(A855="","",IF(AND(E855&lt;&gt;"33 確認済",E855&lt;&gt;"36 送付中"),1,0))</f>
        <v/>
      </c>
      <c r="AO855" s="7" t="str">
        <f aca="false">IF(A855="","",IF(AG855&lt;&gt;"",1,0))</f>
        <v/>
      </c>
    </row>
    <row r="856" customFormat="false" ht="15" hidden="false" customHeight="false" outlineLevel="0" collapsed="false">
      <c r="AL856" s="7" t="str">
        <f aca="false">IF(A856="","",IF(COUNTIF(A856:A$2001,A856)=1,1,0))</f>
        <v/>
      </c>
      <c r="AM856" s="7" t="str">
        <f aca="true">IF(I856="","",TODAY()-I856)</f>
        <v/>
      </c>
      <c r="AN856" s="7" t="str">
        <f aca="false">IF(A856="","",IF(AND(E856&lt;&gt;"33 確認済",E856&lt;&gt;"36 送付中"),1,0))</f>
        <v/>
      </c>
      <c r="AO856" s="7" t="str">
        <f aca="false">IF(A856="","",IF(AG856&lt;&gt;"",1,0))</f>
        <v/>
      </c>
    </row>
    <row r="857" customFormat="false" ht="15" hidden="false" customHeight="false" outlineLevel="0" collapsed="false">
      <c r="AL857" s="7" t="str">
        <f aca="false">IF(A857="","",IF(COUNTIF(A857:A$2001,A857)=1,1,0))</f>
        <v/>
      </c>
      <c r="AM857" s="7" t="str">
        <f aca="true">IF(I857="","",TODAY()-I857)</f>
        <v/>
      </c>
      <c r="AN857" s="7" t="str">
        <f aca="false">IF(A857="","",IF(AND(E857&lt;&gt;"33 確認済",E857&lt;&gt;"36 送付中"),1,0))</f>
        <v/>
      </c>
      <c r="AO857" s="7" t="str">
        <f aca="false">IF(A857="","",IF(AG857&lt;&gt;"",1,0))</f>
        <v/>
      </c>
    </row>
    <row r="858" customFormat="false" ht="15" hidden="false" customHeight="false" outlineLevel="0" collapsed="false">
      <c r="AL858" s="7" t="str">
        <f aca="false">IF(A858="","",IF(COUNTIF(A858:A$2001,A858)=1,1,0))</f>
        <v/>
      </c>
      <c r="AM858" s="7" t="str">
        <f aca="true">IF(I858="","",TODAY()-I858)</f>
        <v/>
      </c>
      <c r="AN858" s="7" t="str">
        <f aca="false">IF(A858="","",IF(AND(E858&lt;&gt;"33 確認済",E858&lt;&gt;"36 送付中"),1,0))</f>
        <v/>
      </c>
      <c r="AO858" s="7" t="str">
        <f aca="false">IF(A858="","",IF(AG858&lt;&gt;"",1,0))</f>
        <v/>
      </c>
    </row>
    <row r="859" customFormat="false" ht="15" hidden="false" customHeight="false" outlineLevel="0" collapsed="false">
      <c r="AL859" s="7" t="str">
        <f aca="false">IF(A859="","",IF(COUNTIF(A859:A$2001,A859)=1,1,0))</f>
        <v/>
      </c>
      <c r="AM859" s="7" t="str">
        <f aca="true">IF(I859="","",TODAY()-I859)</f>
        <v/>
      </c>
      <c r="AN859" s="7" t="str">
        <f aca="false">IF(A859="","",IF(AND(E859&lt;&gt;"33 確認済",E859&lt;&gt;"36 送付中"),1,0))</f>
        <v/>
      </c>
      <c r="AO859" s="7" t="str">
        <f aca="false">IF(A859="","",IF(AG859&lt;&gt;"",1,0))</f>
        <v/>
      </c>
    </row>
    <row r="860" customFormat="false" ht="15" hidden="false" customHeight="false" outlineLevel="0" collapsed="false">
      <c r="AL860" s="7" t="str">
        <f aca="false">IF(A860="","",IF(COUNTIF(A860:A$2001,A860)=1,1,0))</f>
        <v/>
      </c>
      <c r="AM860" s="7" t="str">
        <f aca="true">IF(I860="","",TODAY()-I860)</f>
        <v/>
      </c>
      <c r="AN860" s="7" t="str">
        <f aca="false">IF(A860="","",IF(AND(E860&lt;&gt;"33 確認済",E860&lt;&gt;"36 送付中"),1,0))</f>
        <v/>
      </c>
      <c r="AO860" s="7" t="str">
        <f aca="false">IF(A860="","",IF(AG860&lt;&gt;"",1,0))</f>
        <v/>
      </c>
    </row>
    <row r="861" customFormat="false" ht="15" hidden="false" customHeight="false" outlineLevel="0" collapsed="false">
      <c r="AL861" s="7" t="str">
        <f aca="false">IF(A861="","",IF(COUNTIF(A861:A$2001,A861)=1,1,0))</f>
        <v/>
      </c>
      <c r="AM861" s="7" t="str">
        <f aca="true">IF(I861="","",TODAY()-I861)</f>
        <v/>
      </c>
      <c r="AN861" s="7" t="str">
        <f aca="false">IF(A861="","",IF(AND(E861&lt;&gt;"33 確認済",E861&lt;&gt;"36 送付中"),1,0))</f>
        <v/>
      </c>
      <c r="AO861" s="7" t="str">
        <f aca="false">IF(A861="","",IF(AG861&lt;&gt;"",1,0))</f>
        <v/>
      </c>
    </row>
    <row r="862" customFormat="false" ht="15" hidden="false" customHeight="false" outlineLevel="0" collapsed="false">
      <c r="AL862" s="7" t="str">
        <f aca="false">IF(A862="","",IF(COUNTIF(A862:A$2001,A862)=1,1,0))</f>
        <v/>
      </c>
      <c r="AM862" s="7" t="str">
        <f aca="true">IF(I862="","",TODAY()-I862)</f>
        <v/>
      </c>
      <c r="AN862" s="7" t="str">
        <f aca="false">IF(A862="","",IF(AND(E862&lt;&gt;"33 確認済",E862&lt;&gt;"36 送付中"),1,0))</f>
        <v/>
      </c>
      <c r="AO862" s="7" t="str">
        <f aca="false">IF(A862="","",IF(AG862&lt;&gt;"",1,0))</f>
        <v/>
      </c>
    </row>
    <row r="863" customFormat="false" ht="15" hidden="false" customHeight="false" outlineLevel="0" collapsed="false">
      <c r="AL863" s="7" t="str">
        <f aca="false">IF(A863="","",IF(COUNTIF(A863:A$2001,A863)=1,1,0))</f>
        <v/>
      </c>
      <c r="AM863" s="7" t="str">
        <f aca="true">IF(I863="","",TODAY()-I863)</f>
        <v/>
      </c>
      <c r="AN863" s="7" t="str">
        <f aca="false">IF(A863="","",IF(AND(E863&lt;&gt;"33 確認済",E863&lt;&gt;"36 送付中"),1,0))</f>
        <v/>
      </c>
      <c r="AO863" s="7" t="str">
        <f aca="false">IF(A863="","",IF(AG863&lt;&gt;"",1,0))</f>
        <v/>
      </c>
    </row>
    <row r="864" customFormat="false" ht="15" hidden="false" customHeight="false" outlineLevel="0" collapsed="false">
      <c r="AL864" s="7" t="str">
        <f aca="false">IF(A864="","",IF(COUNTIF(A864:A$2001,A864)=1,1,0))</f>
        <v/>
      </c>
      <c r="AM864" s="7" t="str">
        <f aca="true">IF(I864="","",TODAY()-I864)</f>
        <v/>
      </c>
      <c r="AN864" s="7" t="str">
        <f aca="false">IF(A864="","",IF(AND(E864&lt;&gt;"33 確認済",E864&lt;&gt;"36 送付中"),1,0))</f>
        <v/>
      </c>
      <c r="AO864" s="7" t="str">
        <f aca="false">IF(A864="","",IF(AG864&lt;&gt;"",1,0))</f>
        <v/>
      </c>
    </row>
    <row r="865" customFormat="false" ht="15" hidden="false" customHeight="false" outlineLevel="0" collapsed="false">
      <c r="AL865" s="7" t="str">
        <f aca="false">IF(A865="","",IF(COUNTIF(A865:A$2001,A865)=1,1,0))</f>
        <v/>
      </c>
      <c r="AM865" s="7" t="str">
        <f aca="true">IF(I865="","",TODAY()-I865)</f>
        <v/>
      </c>
      <c r="AN865" s="7" t="str">
        <f aca="false">IF(A865="","",IF(AND(E865&lt;&gt;"33 確認済",E865&lt;&gt;"36 送付中"),1,0))</f>
        <v/>
      </c>
      <c r="AO865" s="7" t="str">
        <f aca="false">IF(A865="","",IF(AG865&lt;&gt;"",1,0))</f>
        <v/>
      </c>
    </row>
    <row r="866" customFormat="false" ht="15" hidden="false" customHeight="false" outlineLevel="0" collapsed="false">
      <c r="AL866" s="7" t="str">
        <f aca="false">IF(A866="","",IF(COUNTIF(A866:A$2001,A866)=1,1,0))</f>
        <v/>
      </c>
      <c r="AM866" s="7" t="str">
        <f aca="true">IF(I866="","",TODAY()-I866)</f>
        <v/>
      </c>
      <c r="AN866" s="7" t="str">
        <f aca="false">IF(A866="","",IF(AND(E866&lt;&gt;"33 確認済",E866&lt;&gt;"36 送付中"),1,0))</f>
        <v/>
      </c>
      <c r="AO866" s="7" t="str">
        <f aca="false">IF(A866="","",IF(AG866&lt;&gt;"",1,0))</f>
        <v/>
      </c>
    </row>
    <row r="867" customFormat="false" ht="15" hidden="false" customHeight="false" outlineLevel="0" collapsed="false">
      <c r="AL867" s="7" t="str">
        <f aca="false">IF(A867="","",IF(COUNTIF(A867:A$2001,A867)=1,1,0))</f>
        <v/>
      </c>
      <c r="AM867" s="7" t="str">
        <f aca="true">IF(I867="","",TODAY()-I867)</f>
        <v/>
      </c>
      <c r="AN867" s="7" t="str">
        <f aca="false">IF(A867="","",IF(AND(E867&lt;&gt;"33 確認済",E867&lt;&gt;"36 送付中"),1,0))</f>
        <v/>
      </c>
      <c r="AO867" s="7" t="str">
        <f aca="false">IF(A867="","",IF(AG867&lt;&gt;"",1,0))</f>
        <v/>
      </c>
    </row>
    <row r="868" customFormat="false" ht="15" hidden="false" customHeight="false" outlineLevel="0" collapsed="false">
      <c r="AL868" s="7" t="str">
        <f aca="false">IF(A868="","",IF(COUNTIF(A868:A$2001,A868)=1,1,0))</f>
        <v/>
      </c>
      <c r="AM868" s="7" t="str">
        <f aca="true">IF(I868="","",TODAY()-I868)</f>
        <v/>
      </c>
      <c r="AN868" s="7" t="str">
        <f aca="false">IF(A868="","",IF(AND(E868&lt;&gt;"33 確認済",E868&lt;&gt;"36 送付中"),1,0))</f>
        <v/>
      </c>
      <c r="AO868" s="7" t="str">
        <f aca="false">IF(A868="","",IF(AG868&lt;&gt;"",1,0))</f>
        <v/>
      </c>
    </row>
    <row r="869" customFormat="false" ht="15" hidden="false" customHeight="false" outlineLevel="0" collapsed="false">
      <c r="AL869" s="7" t="str">
        <f aca="false">IF(A869="","",IF(COUNTIF(A869:A$2001,A869)=1,1,0))</f>
        <v/>
      </c>
      <c r="AM869" s="7" t="str">
        <f aca="true">IF(I869="","",TODAY()-I869)</f>
        <v/>
      </c>
      <c r="AN869" s="7" t="str">
        <f aca="false">IF(A869="","",IF(AND(E869&lt;&gt;"33 確認済",E869&lt;&gt;"36 送付中"),1,0))</f>
        <v/>
      </c>
      <c r="AO869" s="7" t="str">
        <f aca="false">IF(A869="","",IF(AG869&lt;&gt;"",1,0))</f>
        <v/>
      </c>
    </row>
    <row r="870" customFormat="false" ht="15" hidden="false" customHeight="false" outlineLevel="0" collapsed="false">
      <c r="AL870" s="7" t="str">
        <f aca="false">IF(A870="","",IF(COUNTIF(A870:A$2001,A870)=1,1,0))</f>
        <v/>
      </c>
      <c r="AM870" s="7" t="str">
        <f aca="true">IF(I870="","",TODAY()-I870)</f>
        <v/>
      </c>
      <c r="AN870" s="7" t="str">
        <f aca="false">IF(A870="","",IF(AND(E870&lt;&gt;"33 確認済",E870&lt;&gt;"36 送付中"),1,0))</f>
        <v/>
      </c>
      <c r="AO870" s="7" t="str">
        <f aca="false">IF(A870="","",IF(AG870&lt;&gt;"",1,0))</f>
        <v/>
      </c>
    </row>
    <row r="871" customFormat="false" ht="15" hidden="false" customHeight="false" outlineLevel="0" collapsed="false">
      <c r="AL871" s="7" t="str">
        <f aca="false">IF(A871="","",IF(COUNTIF(A871:A$2001,A871)=1,1,0))</f>
        <v/>
      </c>
      <c r="AM871" s="7" t="str">
        <f aca="true">IF(I871="","",TODAY()-I871)</f>
        <v/>
      </c>
      <c r="AN871" s="7" t="str">
        <f aca="false">IF(A871="","",IF(AND(E871&lt;&gt;"33 確認済",E871&lt;&gt;"36 送付中"),1,0))</f>
        <v/>
      </c>
      <c r="AO871" s="7" t="str">
        <f aca="false">IF(A871="","",IF(AG871&lt;&gt;"",1,0))</f>
        <v/>
      </c>
    </row>
    <row r="872" customFormat="false" ht="15" hidden="false" customHeight="false" outlineLevel="0" collapsed="false">
      <c r="AL872" s="7" t="str">
        <f aca="false">IF(A872="","",IF(COUNTIF(A872:A$2001,A872)=1,1,0))</f>
        <v/>
      </c>
      <c r="AM872" s="7" t="str">
        <f aca="true">IF(I872="","",TODAY()-I872)</f>
        <v/>
      </c>
      <c r="AN872" s="7" t="str">
        <f aca="false">IF(A872="","",IF(AND(E872&lt;&gt;"33 確認済",E872&lt;&gt;"36 送付中"),1,0))</f>
        <v/>
      </c>
      <c r="AO872" s="7" t="str">
        <f aca="false">IF(A872="","",IF(AG872&lt;&gt;"",1,0))</f>
        <v/>
      </c>
    </row>
    <row r="873" customFormat="false" ht="15" hidden="false" customHeight="false" outlineLevel="0" collapsed="false">
      <c r="AL873" s="7" t="str">
        <f aca="false">IF(A873="","",IF(COUNTIF(A873:A$2001,A873)=1,1,0))</f>
        <v/>
      </c>
      <c r="AM873" s="7" t="str">
        <f aca="true">IF(I873="","",TODAY()-I873)</f>
        <v/>
      </c>
      <c r="AN873" s="7" t="str">
        <f aca="false">IF(A873="","",IF(AND(E873&lt;&gt;"33 確認済",E873&lt;&gt;"36 送付中"),1,0))</f>
        <v/>
      </c>
      <c r="AO873" s="7" t="str">
        <f aca="false">IF(A873="","",IF(AG873&lt;&gt;"",1,0))</f>
        <v/>
      </c>
    </row>
    <row r="874" customFormat="false" ht="15" hidden="false" customHeight="false" outlineLevel="0" collapsed="false">
      <c r="AL874" s="7" t="str">
        <f aca="false">IF(A874="","",IF(COUNTIF(A874:A$2001,A874)=1,1,0))</f>
        <v/>
      </c>
      <c r="AM874" s="7" t="str">
        <f aca="true">IF(I874="","",TODAY()-I874)</f>
        <v/>
      </c>
      <c r="AN874" s="7" t="str">
        <f aca="false">IF(A874="","",IF(AND(E874&lt;&gt;"33 確認済",E874&lt;&gt;"36 送付中"),1,0))</f>
        <v/>
      </c>
      <c r="AO874" s="7" t="str">
        <f aca="false">IF(A874="","",IF(AG874&lt;&gt;"",1,0))</f>
        <v/>
      </c>
    </row>
    <row r="875" customFormat="false" ht="15" hidden="false" customHeight="false" outlineLevel="0" collapsed="false">
      <c r="AL875" s="7" t="str">
        <f aca="false">IF(A875="","",IF(COUNTIF(A875:A$2001,A875)=1,1,0))</f>
        <v/>
      </c>
      <c r="AM875" s="7" t="str">
        <f aca="true">IF(I875="","",TODAY()-I875)</f>
        <v/>
      </c>
      <c r="AN875" s="7" t="str">
        <f aca="false">IF(A875="","",IF(AND(E875&lt;&gt;"33 確認済",E875&lt;&gt;"36 送付中"),1,0))</f>
        <v/>
      </c>
      <c r="AO875" s="7" t="str">
        <f aca="false">IF(A875="","",IF(AG875&lt;&gt;"",1,0))</f>
        <v/>
      </c>
    </row>
    <row r="876" customFormat="false" ht="15" hidden="false" customHeight="false" outlineLevel="0" collapsed="false">
      <c r="AL876" s="7" t="str">
        <f aca="false">IF(A876="","",IF(COUNTIF(A876:A$2001,A876)=1,1,0))</f>
        <v/>
      </c>
      <c r="AM876" s="7" t="str">
        <f aca="true">IF(I876="","",TODAY()-I876)</f>
        <v/>
      </c>
      <c r="AN876" s="7" t="str">
        <f aca="false">IF(A876="","",IF(AND(E876&lt;&gt;"33 確認済",E876&lt;&gt;"36 送付中"),1,0))</f>
        <v/>
      </c>
      <c r="AO876" s="7" t="str">
        <f aca="false">IF(A876="","",IF(AG876&lt;&gt;"",1,0))</f>
        <v/>
      </c>
    </row>
    <row r="877" customFormat="false" ht="15" hidden="false" customHeight="false" outlineLevel="0" collapsed="false">
      <c r="AL877" s="7" t="str">
        <f aca="false">IF(A877="","",IF(COUNTIF(A877:A$2001,A877)=1,1,0))</f>
        <v/>
      </c>
      <c r="AM877" s="7" t="str">
        <f aca="true">IF(I877="","",TODAY()-I877)</f>
        <v/>
      </c>
      <c r="AN877" s="7" t="str">
        <f aca="false">IF(A877="","",IF(AND(E877&lt;&gt;"33 確認済",E877&lt;&gt;"36 送付中"),1,0))</f>
        <v/>
      </c>
      <c r="AO877" s="7" t="str">
        <f aca="false">IF(A877="","",IF(AG877&lt;&gt;"",1,0))</f>
        <v/>
      </c>
    </row>
    <row r="878" customFormat="false" ht="15" hidden="false" customHeight="false" outlineLevel="0" collapsed="false">
      <c r="AL878" s="7" t="str">
        <f aca="false">IF(A878="","",IF(COUNTIF(A878:A$2001,A878)=1,1,0))</f>
        <v/>
      </c>
      <c r="AM878" s="7" t="str">
        <f aca="true">IF(I878="","",TODAY()-I878)</f>
        <v/>
      </c>
      <c r="AN878" s="7" t="str">
        <f aca="false">IF(A878="","",IF(AND(E878&lt;&gt;"33 確認済",E878&lt;&gt;"36 送付中"),1,0))</f>
        <v/>
      </c>
      <c r="AO878" s="7" t="str">
        <f aca="false">IF(A878="","",IF(AG878&lt;&gt;"",1,0))</f>
        <v/>
      </c>
    </row>
    <row r="879" customFormat="false" ht="15" hidden="false" customHeight="false" outlineLevel="0" collapsed="false">
      <c r="AL879" s="7" t="str">
        <f aca="false">IF(A879="","",IF(COUNTIF(A879:A$2001,A879)=1,1,0))</f>
        <v/>
      </c>
      <c r="AM879" s="7" t="str">
        <f aca="true">IF(I879="","",TODAY()-I879)</f>
        <v/>
      </c>
      <c r="AN879" s="7" t="str">
        <f aca="false">IF(A879="","",IF(AND(E879&lt;&gt;"33 確認済",E879&lt;&gt;"36 送付中"),1,0))</f>
        <v/>
      </c>
      <c r="AO879" s="7" t="str">
        <f aca="false">IF(A879="","",IF(AG879&lt;&gt;"",1,0))</f>
        <v/>
      </c>
    </row>
    <row r="880" customFormat="false" ht="15" hidden="false" customHeight="false" outlineLevel="0" collapsed="false">
      <c r="AL880" s="7" t="str">
        <f aca="false">IF(A880="","",IF(COUNTIF(A880:A$2001,A880)=1,1,0))</f>
        <v/>
      </c>
      <c r="AM880" s="7" t="str">
        <f aca="true">IF(I880="","",TODAY()-I880)</f>
        <v/>
      </c>
      <c r="AN880" s="7" t="str">
        <f aca="false">IF(A880="","",IF(AND(E880&lt;&gt;"33 確認済",E880&lt;&gt;"36 送付中"),1,0))</f>
        <v/>
      </c>
      <c r="AO880" s="7" t="str">
        <f aca="false">IF(A880="","",IF(AG880&lt;&gt;"",1,0))</f>
        <v/>
      </c>
    </row>
    <row r="881" customFormat="false" ht="15" hidden="false" customHeight="false" outlineLevel="0" collapsed="false">
      <c r="AL881" s="7" t="str">
        <f aca="false">IF(A881="","",IF(COUNTIF(A881:A$2001,A881)=1,1,0))</f>
        <v/>
      </c>
      <c r="AM881" s="7" t="str">
        <f aca="true">IF(I881="","",TODAY()-I881)</f>
        <v/>
      </c>
      <c r="AN881" s="7" t="str">
        <f aca="false">IF(A881="","",IF(AND(E881&lt;&gt;"33 確認済",E881&lt;&gt;"36 送付中"),1,0))</f>
        <v/>
      </c>
      <c r="AO881" s="7" t="str">
        <f aca="false">IF(A881="","",IF(AG881&lt;&gt;"",1,0))</f>
        <v/>
      </c>
    </row>
    <row r="882" customFormat="false" ht="15" hidden="false" customHeight="false" outlineLevel="0" collapsed="false">
      <c r="AL882" s="7" t="str">
        <f aca="false">IF(A882="","",IF(COUNTIF(A882:A$2001,A882)=1,1,0))</f>
        <v/>
      </c>
      <c r="AM882" s="7" t="str">
        <f aca="true">IF(I882="","",TODAY()-I882)</f>
        <v/>
      </c>
      <c r="AN882" s="7" t="str">
        <f aca="false">IF(A882="","",IF(AND(E882&lt;&gt;"33 確認済",E882&lt;&gt;"36 送付中"),1,0))</f>
        <v/>
      </c>
      <c r="AO882" s="7" t="str">
        <f aca="false">IF(A882="","",IF(AG882&lt;&gt;"",1,0))</f>
        <v/>
      </c>
    </row>
    <row r="883" customFormat="false" ht="15" hidden="false" customHeight="false" outlineLevel="0" collapsed="false">
      <c r="AL883" s="7" t="str">
        <f aca="false">IF(A883="","",IF(COUNTIF(A883:A$2001,A883)=1,1,0))</f>
        <v/>
      </c>
      <c r="AM883" s="7" t="str">
        <f aca="true">IF(I883="","",TODAY()-I883)</f>
        <v/>
      </c>
      <c r="AN883" s="7" t="str">
        <f aca="false">IF(A883="","",IF(AND(E883&lt;&gt;"33 確認済",E883&lt;&gt;"36 送付中"),1,0))</f>
        <v/>
      </c>
      <c r="AO883" s="7" t="str">
        <f aca="false">IF(A883="","",IF(AG883&lt;&gt;"",1,0))</f>
        <v/>
      </c>
    </row>
    <row r="884" customFormat="false" ht="15" hidden="false" customHeight="false" outlineLevel="0" collapsed="false">
      <c r="AL884" s="7" t="str">
        <f aca="false">IF(A884="","",IF(COUNTIF(A884:A$2001,A884)=1,1,0))</f>
        <v/>
      </c>
      <c r="AM884" s="7" t="str">
        <f aca="true">IF(I884="","",TODAY()-I884)</f>
        <v/>
      </c>
      <c r="AN884" s="7" t="str">
        <f aca="false">IF(A884="","",IF(AND(E884&lt;&gt;"33 確認済",E884&lt;&gt;"36 送付中"),1,0))</f>
        <v/>
      </c>
      <c r="AO884" s="7" t="str">
        <f aca="false">IF(A884="","",IF(AG884&lt;&gt;"",1,0))</f>
        <v/>
      </c>
    </row>
    <row r="885" customFormat="false" ht="15" hidden="false" customHeight="false" outlineLevel="0" collapsed="false">
      <c r="AL885" s="7" t="str">
        <f aca="false">IF(A885="","",IF(COUNTIF(A885:A$2001,A885)=1,1,0))</f>
        <v/>
      </c>
      <c r="AM885" s="7" t="str">
        <f aca="true">IF(I885="","",TODAY()-I885)</f>
        <v/>
      </c>
      <c r="AN885" s="7" t="str">
        <f aca="false">IF(A885="","",IF(AND(E885&lt;&gt;"33 確認済",E885&lt;&gt;"36 送付中"),1,0))</f>
        <v/>
      </c>
      <c r="AO885" s="7" t="str">
        <f aca="false">IF(A885="","",IF(AG885&lt;&gt;"",1,0))</f>
        <v/>
      </c>
    </row>
    <row r="886" customFormat="false" ht="15" hidden="false" customHeight="false" outlineLevel="0" collapsed="false">
      <c r="AL886" s="7" t="str">
        <f aca="false">IF(A886="","",IF(COUNTIF(A886:A$2001,A886)=1,1,0))</f>
        <v/>
      </c>
      <c r="AM886" s="7" t="str">
        <f aca="true">IF(I886="","",TODAY()-I886)</f>
        <v/>
      </c>
      <c r="AN886" s="7" t="str">
        <f aca="false">IF(A886="","",IF(AND(E886&lt;&gt;"33 確認済",E886&lt;&gt;"36 送付中"),1,0))</f>
        <v/>
      </c>
      <c r="AO886" s="7" t="str">
        <f aca="false">IF(A886="","",IF(AG886&lt;&gt;"",1,0))</f>
        <v/>
      </c>
    </row>
    <row r="887" customFormat="false" ht="15" hidden="false" customHeight="false" outlineLevel="0" collapsed="false">
      <c r="AL887" s="7" t="str">
        <f aca="false">IF(A887="","",IF(COUNTIF(A887:A$2001,A887)=1,1,0))</f>
        <v/>
      </c>
      <c r="AM887" s="7" t="str">
        <f aca="true">IF(I887="","",TODAY()-I887)</f>
        <v/>
      </c>
      <c r="AN887" s="7" t="str">
        <f aca="false">IF(A887="","",IF(AND(E887&lt;&gt;"33 確認済",E887&lt;&gt;"36 送付中"),1,0))</f>
        <v/>
      </c>
      <c r="AO887" s="7" t="str">
        <f aca="false">IF(A887="","",IF(AG887&lt;&gt;"",1,0))</f>
        <v/>
      </c>
    </row>
    <row r="888" customFormat="false" ht="15" hidden="false" customHeight="false" outlineLevel="0" collapsed="false">
      <c r="AL888" s="7" t="str">
        <f aca="false">IF(A888="","",IF(COUNTIF(A888:A$2001,A888)=1,1,0))</f>
        <v/>
      </c>
      <c r="AM888" s="7" t="str">
        <f aca="true">IF(I888="","",TODAY()-I888)</f>
        <v/>
      </c>
      <c r="AN888" s="7" t="str">
        <f aca="false">IF(A888="","",IF(AND(E888&lt;&gt;"33 確認済",E888&lt;&gt;"36 送付中"),1,0))</f>
        <v/>
      </c>
      <c r="AO888" s="7" t="str">
        <f aca="false">IF(A888="","",IF(AG888&lt;&gt;"",1,0))</f>
        <v/>
      </c>
    </row>
    <row r="889" customFormat="false" ht="15" hidden="false" customHeight="false" outlineLevel="0" collapsed="false">
      <c r="AL889" s="7" t="str">
        <f aca="false">IF(A889="","",IF(COUNTIF(A889:A$2001,A889)=1,1,0))</f>
        <v/>
      </c>
      <c r="AM889" s="7" t="str">
        <f aca="true">IF(I889="","",TODAY()-I889)</f>
        <v/>
      </c>
      <c r="AN889" s="7" t="str">
        <f aca="false">IF(A889="","",IF(AND(E889&lt;&gt;"33 確認済",E889&lt;&gt;"36 送付中"),1,0))</f>
        <v/>
      </c>
      <c r="AO889" s="7" t="str">
        <f aca="false">IF(A889="","",IF(AG889&lt;&gt;"",1,0))</f>
        <v/>
      </c>
    </row>
    <row r="890" customFormat="false" ht="15" hidden="false" customHeight="false" outlineLevel="0" collapsed="false">
      <c r="AL890" s="7" t="str">
        <f aca="false">IF(A890="","",IF(COUNTIF(A890:A$2001,A890)=1,1,0))</f>
        <v/>
      </c>
      <c r="AM890" s="7" t="str">
        <f aca="true">IF(I890="","",TODAY()-I890)</f>
        <v/>
      </c>
      <c r="AN890" s="7" t="str">
        <f aca="false">IF(A890="","",IF(AND(E890&lt;&gt;"33 確認済",E890&lt;&gt;"36 送付中"),1,0))</f>
        <v/>
      </c>
      <c r="AO890" s="7" t="str">
        <f aca="false">IF(A890="","",IF(AG890&lt;&gt;"",1,0))</f>
        <v/>
      </c>
    </row>
    <row r="891" customFormat="false" ht="15" hidden="false" customHeight="false" outlineLevel="0" collapsed="false">
      <c r="AL891" s="7" t="str">
        <f aca="false">IF(A891="","",IF(COUNTIF(A891:A$2001,A891)=1,1,0))</f>
        <v/>
      </c>
      <c r="AM891" s="7" t="str">
        <f aca="true">IF(I891="","",TODAY()-I891)</f>
        <v/>
      </c>
      <c r="AN891" s="7" t="str">
        <f aca="false">IF(A891="","",IF(AND(E891&lt;&gt;"33 確認済",E891&lt;&gt;"36 送付中"),1,0))</f>
        <v/>
      </c>
      <c r="AO891" s="7" t="str">
        <f aca="false">IF(A891="","",IF(AG891&lt;&gt;"",1,0))</f>
        <v/>
      </c>
    </row>
    <row r="892" customFormat="false" ht="15" hidden="false" customHeight="false" outlineLevel="0" collapsed="false">
      <c r="AL892" s="7" t="str">
        <f aca="false">IF(A892="","",IF(COUNTIF(A892:A$2001,A892)=1,1,0))</f>
        <v/>
      </c>
      <c r="AM892" s="7" t="str">
        <f aca="true">IF(I892="","",TODAY()-I892)</f>
        <v/>
      </c>
      <c r="AN892" s="7" t="str">
        <f aca="false">IF(A892="","",IF(AND(E892&lt;&gt;"33 確認済",E892&lt;&gt;"36 送付中"),1,0))</f>
        <v/>
      </c>
      <c r="AO892" s="7" t="str">
        <f aca="false">IF(A892="","",IF(AG892&lt;&gt;"",1,0))</f>
        <v/>
      </c>
    </row>
    <row r="893" customFormat="false" ht="15" hidden="false" customHeight="false" outlineLevel="0" collapsed="false">
      <c r="AL893" s="7" t="str">
        <f aca="false">IF(A893="","",IF(COUNTIF(A893:A$2001,A893)=1,1,0))</f>
        <v/>
      </c>
      <c r="AM893" s="7" t="str">
        <f aca="true">IF(I893="","",TODAY()-I893)</f>
        <v/>
      </c>
      <c r="AN893" s="7" t="str">
        <f aca="false">IF(A893="","",IF(AND(E893&lt;&gt;"33 確認済",E893&lt;&gt;"36 送付中"),1,0))</f>
        <v/>
      </c>
      <c r="AO893" s="7" t="str">
        <f aca="false">IF(A893="","",IF(AG893&lt;&gt;"",1,0))</f>
        <v/>
      </c>
    </row>
    <row r="894" customFormat="false" ht="15" hidden="false" customHeight="false" outlineLevel="0" collapsed="false">
      <c r="AL894" s="7" t="str">
        <f aca="false">IF(A894="","",IF(COUNTIF(A894:A$2001,A894)=1,1,0))</f>
        <v/>
      </c>
      <c r="AM894" s="7" t="str">
        <f aca="true">IF(I894="","",TODAY()-I894)</f>
        <v/>
      </c>
      <c r="AN894" s="7" t="str">
        <f aca="false">IF(A894="","",IF(AND(E894&lt;&gt;"33 確認済",E894&lt;&gt;"36 送付中"),1,0))</f>
        <v/>
      </c>
      <c r="AO894" s="7" t="str">
        <f aca="false">IF(A894="","",IF(AG894&lt;&gt;"",1,0))</f>
        <v/>
      </c>
    </row>
    <row r="895" customFormat="false" ht="15" hidden="false" customHeight="false" outlineLevel="0" collapsed="false">
      <c r="AL895" s="7" t="str">
        <f aca="false">IF(A895="","",IF(COUNTIF(A895:A$2001,A895)=1,1,0))</f>
        <v/>
      </c>
      <c r="AM895" s="7" t="str">
        <f aca="true">IF(I895="","",TODAY()-I895)</f>
        <v/>
      </c>
      <c r="AN895" s="7" t="str">
        <f aca="false">IF(A895="","",IF(AND(E895&lt;&gt;"33 確認済",E895&lt;&gt;"36 送付中"),1,0))</f>
        <v/>
      </c>
      <c r="AO895" s="7" t="str">
        <f aca="false">IF(A895="","",IF(AG895&lt;&gt;"",1,0))</f>
        <v/>
      </c>
    </row>
    <row r="896" customFormat="false" ht="15" hidden="false" customHeight="false" outlineLevel="0" collapsed="false">
      <c r="AL896" s="7" t="str">
        <f aca="false">IF(A896="","",IF(COUNTIF(A896:A$2001,A896)=1,1,0))</f>
        <v/>
      </c>
      <c r="AM896" s="7" t="str">
        <f aca="true">IF(I896="","",TODAY()-I896)</f>
        <v/>
      </c>
      <c r="AN896" s="7" t="str">
        <f aca="false">IF(A896="","",IF(AND(E896&lt;&gt;"33 確認済",E896&lt;&gt;"36 送付中"),1,0))</f>
        <v/>
      </c>
      <c r="AO896" s="7" t="str">
        <f aca="false">IF(A896="","",IF(AG896&lt;&gt;"",1,0))</f>
        <v/>
      </c>
    </row>
    <row r="897" customFormat="false" ht="15" hidden="false" customHeight="false" outlineLevel="0" collapsed="false">
      <c r="AL897" s="7" t="str">
        <f aca="false">IF(A897="","",IF(COUNTIF(A897:A$2001,A897)=1,1,0))</f>
        <v/>
      </c>
      <c r="AM897" s="7" t="str">
        <f aca="true">IF(I897="","",TODAY()-I897)</f>
        <v/>
      </c>
      <c r="AN897" s="7" t="str">
        <f aca="false">IF(A897="","",IF(AND(E897&lt;&gt;"33 確認済",E897&lt;&gt;"36 送付中"),1,0))</f>
        <v/>
      </c>
      <c r="AO897" s="7" t="str">
        <f aca="false">IF(A897="","",IF(AG897&lt;&gt;"",1,0))</f>
        <v/>
      </c>
    </row>
    <row r="898" customFormat="false" ht="15" hidden="false" customHeight="false" outlineLevel="0" collapsed="false">
      <c r="AL898" s="7" t="str">
        <f aca="false">IF(A898="","",IF(COUNTIF(A898:A$2001,A898)=1,1,0))</f>
        <v/>
      </c>
      <c r="AM898" s="7" t="str">
        <f aca="true">IF(I898="","",TODAY()-I898)</f>
        <v/>
      </c>
      <c r="AN898" s="7" t="str">
        <f aca="false">IF(A898="","",IF(AND(E898&lt;&gt;"33 確認済",E898&lt;&gt;"36 送付中"),1,0))</f>
        <v/>
      </c>
      <c r="AO898" s="7" t="str">
        <f aca="false">IF(A898="","",IF(AG898&lt;&gt;"",1,0))</f>
        <v/>
      </c>
    </row>
    <row r="899" customFormat="false" ht="15" hidden="false" customHeight="false" outlineLevel="0" collapsed="false">
      <c r="AL899" s="7" t="str">
        <f aca="false">IF(A899="","",IF(COUNTIF(A899:A$2001,A899)=1,1,0))</f>
        <v/>
      </c>
      <c r="AM899" s="7" t="str">
        <f aca="true">IF(I899="","",TODAY()-I899)</f>
        <v/>
      </c>
      <c r="AN899" s="7" t="str">
        <f aca="false">IF(A899="","",IF(AND(E899&lt;&gt;"33 確認済",E899&lt;&gt;"36 送付中"),1,0))</f>
        <v/>
      </c>
      <c r="AO899" s="7" t="str">
        <f aca="false">IF(A899="","",IF(AG899&lt;&gt;"",1,0))</f>
        <v/>
      </c>
    </row>
    <row r="900" customFormat="false" ht="15" hidden="false" customHeight="false" outlineLevel="0" collapsed="false">
      <c r="AL900" s="7" t="str">
        <f aca="false">IF(A900="","",IF(COUNTIF(A900:A$2001,A900)=1,1,0))</f>
        <v/>
      </c>
      <c r="AM900" s="7" t="str">
        <f aca="true">IF(I900="","",TODAY()-I900)</f>
        <v/>
      </c>
      <c r="AN900" s="7" t="str">
        <f aca="false">IF(A900="","",IF(AND(E900&lt;&gt;"33 確認済",E900&lt;&gt;"36 送付中"),1,0))</f>
        <v/>
      </c>
      <c r="AO900" s="7" t="str">
        <f aca="false">IF(A900="","",IF(AG900&lt;&gt;"",1,0))</f>
        <v/>
      </c>
    </row>
    <row r="901" customFormat="false" ht="15" hidden="false" customHeight="false" outlineLevel="0" collapsed="false">
      <c r="AL901" s="7" t="str">
        <f aca="false">IF(A901="","",IF(COUNTIF(A901:A$2001,A901)=1,1,0))</f>
        <v/>
      </c>
      <c r="AM901" s="7" t="str">
        <f aca="true">IF(I901="","",TODAY()-I901)</f>
        <v/>
      </c>
      <c r="AN901" s="7" t="str">
        <f aca="false">IF(A901="","",IF(AND(E901&lt;&gt;"33 確認済",E901&lt;&gt;"36 送付中"),1,0))</f>
        <v/>
      </c>
      <c r="AO901" s="7" t="str">
        <f aca="false">IF(A901="","",IF(AG901&lt;&gt;"",1,0))</f>
        <v/>
      </c>
    </row>
    <row r="902" customFormat="false" ht="15" hidden="false" customHeight="false" outlineLevel="0" collapsed="false">
      <c r="AL902" s="7" t="str">
        <f aca="false">IF(A902="","",IF(COUNTIF(A902:A$2001,A902)=1,1,0))</f>
        <v/>
      </c>
      <c r="AM902" s="7" t="str">
        <f aca="true">IF(I902="","",TODAY()-I902)</f>
        <v/>
      </c>
      <c r="AN902" s="7" t="str">
        <f aca="false">IF(A902="","",IF(AND(E902&lt;&gt;"33 確認済",E902&lt;&gt;"36 送付中"),1,0))</f>
        <v/>
      </c>
      <c r="AO902" s="7" t="str">
        <f aca="false">IF(A902="","",IF(AG902&lt;&gt;"",1,0))</f>
        <v/>
      </c>
    </row>
    <row r="903" customFormat="false" ht="15" hidden="false" customHeight="false" outlineLevel="0" collapsed="false">
      <c r="AL903" s="7" t="str">
        <f aca="false">IF(A903="","",IF(COUNTIF(A903:A$2001,A903)=1,1,0))</f>
        <v/>
      </c>
      <c r="AM903" s="7" t="str">
        <f aca="true">IF(I903="","",TODAY()-I903)</f>
        <v/>
      </c>
      <c r="AN903" s="7" t="str">
        <f aca="false">IF(A903="","",IF(AND(E903&lt;&gt;"33 確認済",E903&lt;&gt;"36 送付中"),1,0))</f>
        <v/>
      </c>
      <c r="AO903" s="7" t="str">
        <f aca="false">IF(A903="","",IF(AG903&lt;&gt;"",1,0))</f>
        <v/>
      </c>
    </row>
    <row r="904" customFormat="false" ht="15" hidden="false" customHeight="false" outlineLevel="0" collapsed="false">
      <c r="AL904" s="7" t="str">
        <f aca="false">IF(A904="","",IF(COUNTIF(A904:A$2001,A904)=1,1,0))</f>
        <v/>
      </c>
      <c r="AM904" s="7" t="str">
        <f aca="true">IF(I904="","",TODAY()-I904)</f>
        <v/>
      </c>
      <c r="AN904" s="7" t="str">
        <f aca="false">IF(A904="","",IF(AND(E904&lt;&gt;"33 確認済",E904&lt;&gt;"36 送付中"),1,0))</f>
        <v/>
      </c>
      <c r="AO904" s="7" t="str">
        <f aca="false">IF(A904="","",IF(AG904&lt;&gt;"",1,0))</f>
        <v/>
      </c>
    </row>
    <row r="905" customFormat="false" ht="15" hidden="false" customHeight="false" outlineLevel="0" collapsed="false">
      <c r="AL905" s="7" t="str">
        <f aca="false">IF(A905="","",IF(COUNTIF(A905:A$2001,A905)=1,1,0))</f>
        <v/>
      </c>
      <c r="AM905" s="7" t="str">
        <f aca="true">IF(I905="","",TODAY()-I905)</f>
        <v/>
      </c>
      <c r="AN905" s="7" t="str">
        <f aca="false">IF(A905="","",IF(AND(E905&lt;&gt;"33 確認済",E905&lt;&gt;"36 送付中"),1,0))</f>
        <v/>
      </c>
      <c r="AO905" s="7" t="str">
        <f aca="false">IF(A905="","",IF(AG905&lt;&gt;"",1,0))</f>
        <v/>
      </c>
    </row>
    <row r="906" customFormat="false" ht="15" hidden="false" customHeight="false" outlineLevel="0" collapsed="false">
      <c r="AL906" s="7" t="str">
        <f aca="false">IF(A906="","",IF(COUNTIF(A906:A$2001,A906)=1,1,0))</f>
        <v/>
      </c>
      <c r="AM906" s="7" t="str">
        <f aca="true">IF(I906="","",TODAY()-I906)</f>
        <v/>
      </c>
      <c r="AN906" s="7" t="str">
        <f aca="false">IF(A906="","",IF(AND(E906&lt;&gt;"33 確認済",E906&lt;&gt;"36 送付中"),1,0))</f>
        <v/>
      </c>
      <c r="AO906" s="7" t="str">
        <f aca="false">IF(A906="","",IF(AG906&lt;&gt;"",1,0))</f>
        <v/>
      </c>
    </row>
    <row r="907" customFormat="false" ht="15" hidden="false" customHeight="false" outlineLevel="0" collapsed="false">
      <c r="AL907" s="7" t="str">
        <f aca="false">IF(A907="","",IF(COUNTIF(A907:A$2001,A907)=1,1,0))</f>
        <v/>
      </c>
      <c r="AM907" s="7" t="str">
        <f aca="true">IF(I907="","",TODAY()-I907)</f>
        <v/>
      </c>
      <c r="AN907" s="7" t="str">
        <f aca="false">IF(A907="","",IF(AND(E907&lt;&gt;"33 確認済",E907&lt;&gt;"36 送付中"),1,0))</f>
        <v/>
      </c>
      <c r="AO907" s="7" t="str">
        <f aca="false">IF(A907="","",IF(AG907&lt;&gt;"",1,0))</f>
        <v/>
      </c>
    </row>
    <row r="908" customFormat="false" ht="15" hidden="false" customHeight="false" outlineLevel="0" collapsed="false">
      <c r="AL908" s="7" t="str">
        <f aca="false">IF(A908="","",IF(COUNTIF(A908:A$2001,A908)=1,1,0))</f>
        <v/>
      </c>
      <c r="AM908" s="7" t="str">
        <f aca="true">IF(I908="","",TODAY()-I908)</f>
        <v/>
      </c>
      <c r="AN908" s="7" t="str">
        <f aca="false">IF(A908="","",IF(AND(E908&lt;&gt;"33 確認済",E908&lt;&gt;"36 送付中"),1,0))</f>
        <v/>
      </c>
      <c r="AO908" s="7" t="str">
        <f aca="false">IF(A908="","",IF(AG908&lt;&gt;"",1,0))</f>
        <v/>
      </c>
    </row>
    <row r="909" customFormat="false" ht="15" hidden="false" customHeight="false" outlineLevel="0" collapsed="false">
      <c r="AL909" s="7" t="str">
        <f aca="false">IF(A909="","",IF(COUNTIF(A909:A$2001,A909)=1,1,0))</f>
        <v/>
      </c>
      <c r="AM909" s="7" t="str">
        <f aca="true">IF(I909="","",TODAY()-I909)</f>
        <v/>
      </c>
      <c r="AN909" s="7" t="str">
        <f aca="false">IF(A909="","",IF(AND(E909&lt;&gt;"33 確認済",E909&lt;&gt;"36 送付中"),1,0))</f>
        <v/>
      </c>
      <c r="AO909" s="7" t="str">
        <f aca="false">IF(A909="","",IF(AG909&lt;&gt;"",1,0))</f>
        <v/>
      </c>
    </row>
    <row r="910" customFormat="false" ht="15" hidden="false" customHeight="false" outlineLevel="0" collapsed="false">
      <c r="AL910" s="7" t="str">
        <f aca="false">IF(A910="","",IF(COUNTIF(A910:A$2001,A910)=1,1,0))</f>
        <v/>
      </c>
      <c r="AM910" s="7" t="str">
        <f aca="true">IF(I910="","",TODAY()-I910)</f>
        <v/>
      </c>
      <c r="AN910" s="7" t="str">
        <f aca="false">IF(A910="","",IF(AND(E910&lt;&gt;"33 確認済",E910&lt;&gt;"36 送付中"),1,0))</f>
        <v/>
      </c>
      <c r="AO910" s="7" t="str">
        <f aca="false">IF(A910="","",IF(AG910&lt;&gt;"",1,0))</f>
        <v/>
      </c>
    </row>
    <row r="911" customFormat="false" ht="15" hidden="false" customHeight="false" outlineLevel="0" collapsed="false">
      <c r="AL911" s="7" t="str">
        <f aca="false">IF(A911="","",IF(COUNTIF(A911:A$2001,A911)=1,1,0))</f>
        <v/>
      </c>
      <c r="AM911" s="7" t="str">
        <f aca="true">IF(I911="","",TODAY()-I911)</f>
        <v/>
      </c>
      <c r="AN911" s="7" t="str">
        <f aca="false">IF(A911="","",IF(AND(E911&lt;&gt;"33 確認済",E911&lt;&gt;"36 送付中"),1,0))</f>
        <v/>
      </c>
      <c r="AO911" s="7" t="str">
        <f aca="false">IF(A911="","",IF(AG911&lt;&gt;"",1,0))</f>
        <v/>
      </c>
    </row>
    <row r="912" customFormat="false" ht="15" hidden="false" customHeight="false" outlineLevel="0" collapsed="false">
      <c r="AL912" s="7" t="str">
        <f aca="false">IF(A912="","",IF(COUNTIF(A912:A$2001,A912)=1,1,0))</f>
        <v/>
      </c>
      <c r="AM912" s="7" t="str">
        <f aca="true">IF(I912="","",TODAY()-I912)</f>
        <v/>
      </c>
      <c r="AN912" s="7" t="str">
        <f aca="false">IF(A912="","",IF(AND(E912&lt;&gt;"33 確認済",E912&lt;&gt;"36 送付中"),1,0))</f>
        <v/>
      </c>
      <c r="AO912" s="7" t="str">
        <f aca="false">IF(A912="","",IF(AG912&lt;&gt;"",1,0))</f>
        <v/>
      </c>
    </row>
    <row r="913" customFormat="false" ht="15" hidden="false" customHeight="false" outlineLevel="0" collapsed="false">
      <c r="AL913" s="7" t="str">
        <f aca="false">IF(A913="","",IF(COUNTIF(A913:A$2001,A913)=1,1,0))</f>
        <v/>
      </c>
      <c r="AM913" s="7" t="str">
        <f aca="true">IF(I913="","",TODAY()-I913)</f>
        <v/>
      </c>
      <c r="AN913" s="7" t="str">
        <f aca="false">IF(A913="","",IF(AND(E913&lt;&gt;"33 確認済",E913&lt;&gt;"36 送付中"),1,0))</f>
        <v/>
      </c>
      <c r="AO913" s="7" t="str">
        <f aca="false">IF(A913="","",IF(AG913&lt;&gt;"",1,0))</f>
        <v/>
      </c>
    </row>
    <row r="914" customFormat="false" ht="15" hidden="false" customHeight="false" outlineLevel="0" collapsed="false">
      <c r="AL914" s="7" t="str">
        <f aca="false">IF(A914="","",IF(COUNTIF(A914:A$2001,A914)=1,1,0))</f>
        <v/>
      </c>
      <c r="AM914" s="7" t="str">
        <f aca="true">IF(I914="","",TODAY()-I914)</f>
        <v/>
      </c>
      <c r="AN914" s="7" t="str">
        <f aca="false">IF(A914="","",IF(AND(E914&lt;&gt;"33 確認済",E914&lt;&gt;"36 送付中"),1,0))</f>
        <v/>
      </c>
      <c r="AO914" s="7" t="str">
        <f aca="false">IF(A914="","",IF(AG914&lt;&gt;"",1,0))</f>
        <v/>
      </c>
    </row>
    <row r="915" customFormat="false" ht="15" hidden="false" customHeight="false" outlineLevel="0" collapsed="false">
      <c r="AL915" s="7" t="str">
        <f aca="false">IF(A915="","",IF(COUNTIF(A915:A$2001,A915)=1,1,0))</f>
        <v/>
      </c>
      <c r="AM915" s="7" t="str">
        <f aca="true">IF(I915="","",TODAY()-I915)</f>
        <v/>
      </c>
      <c r="AN915" s="7" t="str">
        <f aca="false">IF(A915="","",IF(AND(E915&lt;&gt;"33 確認済",E915&lt;&gt;"36 送付中"),1,0))</f>
        <v/>
      </c>
      <c r="AO915" s="7" t="str">
        <f aca="false">IF(A915="","",IF(AG915&lt;&gt;"",1,0))</f>
        <v/>
      </c>
    </row>
    <row r="916" customFormat="false" ht="15" hidden="false" customHeight="false" outlineLevel="0" collapsed="false">
      <c r="AL916" s="7" t="str">
        <f aca="false">IF(A916="","",IF(COUNTIF(A916:A$2001,A916)=1,1,0))</f>
        <v/>
      </c>
      <c r="AM916" s="7" t="str">
        <f aca="true">IF(I916="","",TODAY()-I916)</f>
        <v/>
      </c>
      <c r="AN916" s="7" t="str">
        <f aca="false">IF(A916="","",IF(AND(E916&lt;&gt;"33 確認済",E916&lt;&gt;"36 送付中"),1,0))</f>
        <v/>
      </c>
      <c r="AO916" s="7" t="str">
        <f aca="false">IF(A916="","",IF(AG916&lt;&gt;"",1,0))</f>
        <v/>
      </c>
    </row>
    <row r="917" customFormat="false" ht="15" hidden="false" customHeight="false" outlineLevel="0" collapsed="false">
      <c r="AL917" s="7" t="str">
        <f aca="false">IF(A917="","",IF(COUNTIF(A917:A$2001,A917)=1,1,0))</f>
        <v/>
      </c>
      <c r="AM917" s="7" t="str">
        <f aca="true">IF(I917="","",TODAY()-I917)</f>
        <v/>
      </c>
      <c r="AN917" s="7" t="str">
        <f aca="false">IF(A917="","",IF(AND(E917&lt;&gt;"33 確認済",E917&lt;&gt;"36 送付中"),1,0))</f>
        <v/>
      </c>
      <c r="AO917" s="7" t="str">
        <f aca="false">IF(A917="","",IF(AG917&lt;&gt;"",1,0))</f>
        <v/>
      </c>
    </row>
    <row r="918" customFormat="false" ht="15" hidden="false" customHeight="false" outlineLevel="0" collapsed="false">
      <c r="AL918" s="7" t="str">
        <f aca="false">IF(A918="","",IF(COUNTIF(A918:A$2001,A918)=1,1,0))</f>
        <v/>
      </c>
      <c r="AM918" s="7" t="str">
        <f aca="true">IF(I918="","",TODAY()-I918)</f>
        <v/>
      </c>
      <c r="AN918" s="7" t="str">
        <f aca="false">IF(A918="","",IF(AND(E918&lt;&gt;"33 確認済",E918&lt;&gt;"36 送付中"),1,0))</f>
        <v/>
      </c>
      <c r="AO918" s="7" t="str">
        <f aca="false">IF(A918="","",IF(AG918&lt;&gt;"",1,0))</f>
        <v/>
      </c>
    </row>
    <row r="919" customFormat="false" ht="15" hidden="false" customHeight="false" outlineLevel="0" collapsed="false">
      <c r="AL919" s="7" t="str">
        <f aca="false">IF(A919="","",IF(COUNTIF(A919:A$2001,A919)=1,1,0))</f>
        <v/>
      </c>
      <c r="AM919" s="7" t="str">
        <f aca="true">IF(I919="","",TODAY()-I919)</f>
        <v/>
      </c>
      <c r="AN919" s="7" t="str">
        <f aca="false">IF(A919="","",IF(AND(E919&lt;&gt;"33 確認済",E919&lt;&gt;"36 送付中"),1,0))</f>
        <v/>
      </c>
      <c r="AO919" s="7" t="str">
        <f aca="false">IF(A919="","",IF(AG919&lt;&gt;"",1,0))</f>
        <v/>
      </c>
    </row>
    <row r="920" customFormat="false" ht="15" hidden="false" customHeight="false" outlineLevel="0" collapsed="false">
      <c r="AL920" s="7" t="str">
        <f aca="false">IF(A920="","",IF(COUNTIF(A920:A$2001,A920)=1,1,0))</f>
        <v/>
      </c>
      <c r="AM920" s="7" t="str">
        <f aca="true">IF(I920="","",TODAY()-I920)</f>
        <v/>
      </c>
      <c r="AN920" s="7" t="str">
        <f aca="false">IF(A920="","",IF(AND(E920&lt;&gt;"33 確認済",E920&lt;&gt;"36 送付中"),1,0))</f>
        <v/>
      </c>
      <c r="AO920" s="7" t="str">
        <f aca="false">IF(A920="","",IF(AG920&lt;&gt;"",1,0))</f>
        <v/>
      </c>
    </row>
    <row r="921" customFormat="false" ht="15" hidden="false" customHeight="false" outlineLevel="0" collapsed="false">
      <c r="AL921" s="7" t="str">
        <f aca="false">IF(A921="","",IF(COUNTIF(A921:A$2001,A921)=1,1,0))</f>
        <v/>
      </c>
      <c r="AM921" s="7" t="str">
        <f aca="true">IF(I921="","",TODAY()-I921)</f>
        <v/>
      </c>
      <c r="AN921" s="7" t="str">
        <f aca="false">IF(A921="","",IF(AND(E921&lt;&gt;"33 確認済",E921&lt;&gt;"36 送付中"),1,0))</f>
        <v/>
      </c>
      <c r="AO921" s="7" t="str">
        <f aca="false">IF(A921="","",IF(AG921&lt;&gt;"",1,0))</f>
        <v/>
      </c>
    </row>
    <row r="922" customFormat="false" ht="15" hidden="false" customHeight="false" outlineLevel="0" collapsed="false">
      <c r="AL922" s="7" t="str">
        <f aca="false">IF(A922="","",IF(COUNTIF(A922:A$2001,A922)=1,1,0))</f>
        <v/>
      </c>
      <c r="AM922" s="7" t="str">
        <f aca="true">IF(I922="","",TODAY()-I922)</f>
        <v/>
      </c>
      <c r="AN922" s="7" t="str">
        <f aca="false">IF(A922="","",IF(AND(E922&lt;&gt;"33 確認済",E922&lt;&gt;"36 送付中"),1,0))</f>
        <v/>
      </c>
      <c r="AO922" s="7" t="str">
        <f aca="false">IF(A922="","",IF(AG922&lt;&gt;"",1,0))</f>
        <v/>
      </c>
    </row>
    <row r="923" customFormat="false" ht="15" hidden="false" customHeight="false" outlineLevel="0" collapsed="false">
      <c r="AL923" s="7" t="str">
        <f aca="false">IF(A923="","",IF(COUNTIF(A923:A$2001,A923)=1,1,0))</f>
        <v/>
      </c>
      <c r="AM923" s="7" t="str">
        <f aca="true">IF(I923="","",TODAY()-I923)</f>
        <v/>
      </c>
      <c r="AN923" s="7" t="str">
        <f aca="false">IF(A923="","",IF(AND(E923&lt;&gt;"33 確認済",E923&lt;&gt;"36 送付中"),1,0))</f>
        <v/>
      </c>
      <c r="AO923" s="7" t="str">
        <f aca="false">IF(A923="","",IF(AG923&lt;&gt;"",1,0))</f>
        <v/>
      </c>
    </row>
    <row r="924" customFormat="false" ht="15" hidden="false" customHeight="false" outlineLevel="0" collapsed="false">
      <c r="AL924" s="7" t="str">
        <f aca="false">IF(A924="","",IF(COUNTIF(A924:A$2001,A924)=1,1,0))</f>
        <v/>
      </c>
      <c r="AM924" s="7" t="str">
        <f aca="true">IF(I924="","",TODAY()-I924)</f>
        <v/>
      </c>
      <c r="AN924" s="7" t="str">
        <f aca="false">IF(A924="","",IF(AND(E924&lt;&gt;"33 確認済",E924&lt;&gt;"36 送付中"),1,0))</f>
        <v/>
      </c>
      <c r="AO924" s="7" t="str">
        <f aca="false">IF(A924="","",IF(AG924&lt;&gt;"",1,0))</f>
        <v/>
      </c>
    </row>
    <row r="925" customFormat="false" ht="15" hidden="false" customHeight="false" outlineLevel="0" collapsed="false">
      <c r="AL925" s="7" t="str">
        <f aca="false">IF(A925="","",IF(COUNTIF(A925:A$2001,A925)=1,1,0))</f>
        <v/>
      </c>
      <c r="AM925" s="7" t="str">
        <f aca="true">IF(I925="","",TODAY()-I925)</f>
        <v/>
      </c>
      <c r="AN925" s="7" t="str">
        <f aca="false">IF(A925="","",IF(AND(E925&lt;&gt;"33 確認済",E925&lt;&gt;"36 送付中"),1,0))</f>
        <v/>
      </c>
      <c r="AO925" s="7" t="str">
        <f aca="false">IF(A925="","",IF(AG925&lt;&gt;"",1,0))</f>
        <v/>
      </c>
    </row>
    <row r="926" customFormat="false" ht="15" hidden="false" customHeight="false" outlineLevel="0" collapsed="false">
      <c r="AL926" s="7" t="str">
        <f aca="false">IF(A926="","",IF(COUNTIF(A926:A$2001,A926)=1,1,0))</f>
        <v/>
      </c>
      <c r="AM926" s="7" t="str">
        <f aca="true">IF(I926="","",TODAY()-I926)</f>
        <v/>
      </c>
      <c r="AN926" s="7" t="str">
        <f aca="false">IF(A926="","",IF(AND(E926&lt;&gt;"33 確認済",E926&lt;&gt;"36 送付中"),1,0))</f>
        <v/>
      </c>
      <c r="AO926" s="7" t="str">
        <f aca="false">IF(A926="","",IF(AG926&lt;&gt;"",1,0))</f>
        <v/>
      </c>
    </row>
    <row r="927" customFormat="false" ht="15" hidden="false" customHeight="false" outlineLevel="0" collapsed="false">
      <c r="AL927" s="7" t="str">
        <f aca="false">IF(A927="","",IF(COUNTIF(A927:A$2001,A927)=1,1,0))</f>
        <v/>
      </c>
      <c r="AM927" s="7" t="str">
        <f aca="true">IF(I927="","",TODAY()-I927)</f>
        <v/>
      </c>
      <c r="AN927" s="7" t="str">
        <f aca="false">IF(A927="","",IF(AND(E927&lt;&gt;"33 確認済",E927&lt;&gt;"36 送付中"),1,0))</f>
        <v/>
      </c>
      <c r="AO927" s="7" t="str">
        <f aca="false">IF(A927="","",IF(AG927&lt;&gt;"",1,0))</f>
        <v/>
      </c>
    </row>
    <row r="928" customFormat="false" ht="15" hidden="false" customHeight="false" outlineLevel="0" collapsed="false">
      <c r="AL928" s="7" t="str">
        <f aca="false">IF(A928="","",IF(COUNTIF(A928:A$2001,A928)=1,1,0))</f>
        <v/>
      </c>
      <c r="AM928" s="7" t="str">
        <f aca="true">IF(I928="","",TODAY()-I928)</f>
        <v/>
      </c>
      <c r="AN928" s="7" t="str">
        <f aca="false">IF(A928="","",IF(AND(E928&lt;&gt;"33 確認済",E928&lt;&gt;"36 送付中"),1,0))</f>
        <v/>
      </c>
      <c r="AO928" s="7" t="str">
        <f aca="false">IF(A928="","",IF(AG928&lt;&gt;"",1,0))</f>
        <v/>
      </c>
    </row>
    <row r="929" customFormat="false" ht="15" hidden="false" customHeight="false" outlineLevel="0" collapsed="false">
      <c r="AL929" s="7" t="str">
        <f aca="false">IF(A929="","",IF(COUNTIF(A929:A$2001,A929)=1,1,0))</f>
        <v/>
      </c>
      <c r="AM929" s="7" t="str">
        <f aca="true">IF(I929="","",TODAY()-I929)</f>
        <v/>
      </c>
      <c r="AN929" s="7" t="str">
        <f aca="false">IF(A929="","",IF(AND(E929&lt;&gt;"33 確認済",E929&lt;&gt;"36 送付中"),1,0))</f>
        <v/>
      </c>
      <c r="AO929" s="7" t="str">
        <f aca="false">IF(A929="","",IF(AG929&lt;&gt;"",1,0))</f>
        <v/>
      </c>
    </row>
    <row r="930" customFormat="false" ht="15" hidden="false" customHeight="false" outlineLevel="0" collapsed="false">
      <c r="AL930" s="7" t="str">
        <f aca="false">IF(A930="","",IF(COUNTIF(A930:A$2001,A930)=1,1,0))</f>
        <v/>
      </c>
      <c r="AM930" s="7" t="str">
        <f aca="true">IF(I930="","",TODAY()-I930)</f>
        <v/>
      </c>
      <c r="AN930" s="7" t="str">
        <f aca="false">IF(A930="","",IF(AND(E930&lt;&gt;"33 確認済",E930&lt;&gt;"36 送付中"),1,0))</f>
        <v/>
      </c>
      <c r="AO930" s="7" t="str">
        <f aca="false">IF(A930="","",IF(AG930&lt;&gt;"",1,0))</f>
        <v/>
      </c>
    </row>
    <row r="931" customFormat="false" ht="15" hidden="false" customHeight="false" outlineLevel="0" collapsed="false">
      <c r="AL931" s="7" t="str">
        <f aca="false">IF(A931="","",IF(COUNTIF(A931:A$2001,A931)=1,1,0))</f>
        <v/>
      </c>
      <c r="AM931" s="7" t="str">
        <f aca="true">IF(I931="","",TODAY()-I931)</f>
        <v/>
      </c>
      <c r="AN931" s="7" t="str">
        <f aca="false">IF(A931="","",IF(AND(E931&lt;&gt;"33 確認済",E931&lt;&gt;"36 送付中"),1,0))</f>
        <v/>
      </c>
      <c r="AO931" s="7" t="str">
        <f aca="false">IF(A931="","",IF(AG931&lt;&gt;"",1,0))</f>
        <v/>
      </c>
    </row>
    <row r="932" customFormat="false" ht="15" hidden="false" customHeight="false" outlineLevel="0" collapsed="false">
      <c r="AL932" s="7" t="str">
        <f aca="false">IF(A932="","",IF(COUNTIF(A932:A$2001,A932)=1,1,0))</f>
        <v/>
      </c>
      <c r="AM932" s="7" t="str">
        <f aca="true">IF(I932="","",TODAY()-I932)</f>
        <v/>
      </c>
      <c r="AN932" s="7" t="str">
        <f aca="false">IF(A932="","",IF(AND(E932&lt;&gt;"33 確認済",E932&lt;&gt;"36 送付中"),1,0))</f>
        <v/>
      </c>
      <c r="AO932" s="7" t="str">
        <f aca="false">IF(A932="","",IF(AG932&lt;&gt;"",1,0))</f>
        <v/>
      </c>
    </row>
    <row r="933" customFormat="false" ht="15" hidden="false" customHeight="false" outlineLevel="0" collapsed="false">
      <c r="AL933" s="7" t="str">
        <f aca="false">IF(A933="","",IF(COUNTIF(A933:A$2001,A933)=1,1,0))</f>
        <v/>
      </c>
      <c r="AM933" s="7" t="str">
        <f aca="true">IF(I933="","",TODAY()-I933)</f>
        <v/>
      </c>
      <c r="AN933" s="7" t="str">
        <f aca="false">IF(A933="","",IF(AND(E933&lt;&gt;"33 確認済",E933&lt;&gt;"36 送付中"),1,0))</f>
        <v/>
      </c>
      <c r="AO933" s="7" t="str">
        <f aca="false">IF(A933="","",IF(AG933&lt;&gt;"",1,0))</f>
        <v/>
      </c>
    </row>
    <row r="934" customFormat="false" ht="15" hidden="false" customHeight="false" outlineLevel="0" collapsed="false">
      <c r="AL934" s="7" t="str">
        <f aca="false">IF(A934="","",IF(COUNTIF(A934:A$2001,A934)=1,1,0))</f>
        <v/>
      </c>
      <c r="AM934" s="7" t="str">
        <f aca="true">IF(I934="","",TODAY()-I934)</f>
        <v/>
      </c>
      <c r="AN934" s="7" t="str">
        <f aca="false">IF(A934="","",IF(AND(E934&lt;&gt;"33 確認済",E934&lt;&gt;"36 送付中"),1,0))</f>
        <v/>
      </c>
      <c r="AO934" s="7" t="str">
        <f aca="false">IF(A934="","",IF(AG934&lt;&gt;"",1,0))</f>
        <v/>
      </c>
    </row>
    <row r="935" customFormat="false" ht="15" hidden="false" customHeight="false" outlineLevel="0" collapsed="false">
      <c r="AL935" s="7" t="str">
        <f aca="false">IF(A935="","",IF(COUNTIF(A935:A$2001,A935)=1,1,0))</f>
        <v/>
      </c>
      <c r="AM935" s="7" t="str">
        <f aca="true">IF(I935="","",TODAY()-I935)</f>
        <v/>
      </c>
      <c r="AN935" s="7" t="str">
        <f aca="false">IF(A935="","",IF(AND(E935&lt;&gt;"33 確認済",E935&lt;&gt;"36 送付中"),1,0))</f>
        <v/>
      </c>
      <c r="AO935" s="7" t="str">
        <f aca="false">IF(A935="","",IF(AG935&lt;&gt;"",1,0))</f>
        <v/>
      </c>
    </row>
    <row r="936" customFormat="false" ht="15" hidden="false" customHeight="false" outlineLevel="0" collapsed="false">
      <c r="AL936" s="7" t="str">
        <f aca="false">IF(A936="","",IF(COUNTIF(A936:A$2001,A936)=1,1,0))</f>
        <v/>
      </c>
      <c r="AM936" s="7" t="str">
        <f aca="true">IF(I936="","",TODAY()-I936)</f>
        <v/>
      </c>
      <c r="AN936" s="7" t="str">
        <f aca="false">IF(A936="","",IF(AND(E936&lt;&gt;"33 確認済",E936&lt;&gt;"36 送付中"),1,0))</f>
        <v/>
      </c>
      <c r="AO936" s="7" t="str">
        <f aca="false">IF(A936="","",IF(AG936&lt;&gt;"",1,0))</f>
        <v/>
      </c>
    </row>
    <row r="937" customFormat="false" ht="15" hidden="false" customHeight="false" outlineLevel="0" collapsed="false">
      <c r="AL937" s="7" t="str">
        <f aca="false">IF(A937="","",IF(COUNTIF(A937:A$2001,A937)=1,1,0))</f>
        <v/>
      </c>
      <c r="AM937" s="7" t="str">
        <f aca="true">IF(I937="","",TODAY()-I937)</f>
        <v/>
      </c>
      <c r="AN937" s="7" t="str">
        <f aca="false">IF(A937="","",IF(AND(E937&lt;&gt;"33 確認済",E937&lt;&gt;"36 送付中"),1,0))</f>
        <v/>
      </c>
      <c r="AO937" s="7" t="str">
        <f aca="false">IF(A937="","",IF(AG937&lt;&gt;"",1,0))</f>
        <v/>
      </c>
    </row>
    <row r="938" customFormat="false" ht="15" hidden="false" customHeight="false" outlineLevel="0" collapsed="false">
      <c r="AL938" s="7" t="str">
        <f aca="false">IF(A938="","",IF(COUNTIF(A938:A$2001,A938)=1,1,0))</f>
        <v/>
      </c>
      <c r="AM938" s="7" t="str">
        <f aca="true">IF(I938="","",TODAY()-I938)</f>
        <v/>
      </c>
      <c r="AN938" s="7" t="str">
        <f aca="false">IF(A938="","",IF(AND(E938&lt;&gt;"33 確認済",E938&lt;&gt;"36 送付中"),1,0))</f>
        <v/>
      </c>
      <c r="AO938" s="7" t="str">
        <f aca="false">IF(A938="","",IF(AG938&lt;&gt;"",1,0))</f>
        <v/>
      </c>
    </row>
    <row r="939" customFormat="false" ht="15" hidden="false" customHeight="false" outlineLevel="0" collapsed="false">
      <c r="AL939" s="7" t="str">
        <f aca="false">IF(A939="","",IF(COUNTIF(A939:A$2001,A939)=1,1,0))</f>
        <v/>
      </c>
      <c r="AM939" s="7" t="str">
        <f aca="true">IF(I939="","",TODAY()-I939)</f>
        <v/>
      </c>
      <c r="AN939" s="7" t="str">
        <f aca="false">IF(A939="","",IF(AND(E939&lt;&gt;"33 確認済",E939&lt;&gt;"36 送付中"),1,0))</f>
        <v/>
      </c>
      <c r="AO939" s="7" t="str">
        <f aca="false">IF(A939="","",IF(AG939&lt;&gt;"",1,0))</f>
        <v/>
      </c>
    </row>
    <row r="940" customFormat="false" ht="15" hidden="false" customHeight="false" outlineLevel="0" collapsed="false">
      <c r="AL940" s="7" t="str">
        <f aca="false">IF(A940="","",IF(COUNTIF(A940:A$2001,A940)=1,1,0))</f>
        <v/>
      </c>
      <c r="AM940" s="7" t="str">
        <f aca="true">IF(I940="","",TODAY()-I940)</f>
        <v/>
      </c>
      <c r="AN940" s="7" t="str">
        <f aca="false">IF(A940="","",IF(AND(E940&lt;&gt;"33 確認済",E940&lt;&gt;"36 送付中"),1,0))</f>
        <v/>
      </c>
      <c r="AO940" s="7" t="str">
        <f aca="false">IF(A940="","",IF(AG940&lt;&gt;"",1,0))</f>
        <v/>
      </c>
    </row>
    <row r="941" customFormat="false" ht="15" hidden="false" customHeight="false" outlineLevel="0" collapsed="false">
      <c r="AL941" s="7" t="str">
        <f aca="false">IF(A941="","",IF(COUNTIF(A941:A$2001,A941)=1,1,0))</f>
        <v/>
      </c>
      <c r="AM941" s="7" t="str">
        <f aca="true">IF(I941="","",TODAY()-I941)</f>
        <v/>
      </c>
      <c r="AN941" s="7" t="str">
        <f aca="false">IF(A941="","",IF(AND(E941&lt;&gt;"33 確認済",E941&lt;&gt;"36 送付中"),1,0))</f>
        <v/>
      </c>
      <c r="AO941" s="7" t="str">
        <f aca="false">IF(A941="","",IF(AG941&lt;&gt;"",1,0))</f>
        <v/>
      </c>
    </row>
    <row r="942" customFormat="false" ht="15" hidden="false" customHeight="false" outlineLevel="0" collapsed="false">
      <c r="AL942" s="7" t="str">
        <f aca="false">IF(A942="","",IF(COUNTIF(A942:A$2001,A942)=1,1,0))</f>
        <v/>
      </c>
      <c r="AM942" s="7" t="str">
        <f aca="true">IF(I942="","",TODAY()-I942)</f>
        <v/>
      </c>
      <c r="AN942" s="7" t="str">
        <f aca="false">IF(A942="","",IF(AND(E942&lt;&gt;"33 確認済",E942&lt;&gt;"36 送付中"),1,0))</f>
        <v/>
      </c>
      <c r="AO942" s="7" t="str">
        <f aca="false">IF(A942="","",IF(AG942&lt;&gt;"",1,0))</f>
        <v/>
      </c>
    </row>
    <row r="943" customFormat="false" ht="15" hidden="false" customHeight="false" outlineLevel="0" collapsed="false">
      <c r="AL943" s="7" t="str">
        <f aca="false">IF(A943="","",IF(COUNTIF(A943:A$2001,A943)=1,1,0))</f>
        <v/>
      </c>
      <c r="AM943" s="7" t="str">
        <f aca="true">IF(I943="","",TODAY()-I943)</f>
        <v/>
      </c>
      <c r="AN943" s="7" t="str">
        <f aca="false">IF(A943="","",IF(AND(E943&lt;&gt;"33 確認済",E943&lt;&gt;"36 送付中"),1,0))</f>
        <v/>
      </c>
      <c r="AO943" s="7" t="str">
        <f aca="false">IF(A943="","",IF(AG943&lt;&gt;"",1,0))</f>
        <v/>
      </c>
    </row>
    <row r="944" customFormat="false" ht="15" hidden="false" customHeight="false" outlineLevel="0" collapsed="false">
      <c r="AL944" s="7" t="str">
        <f aca="false">IF(A944="","",IF(COUNTIF(A944:A$2001,A944)=1,1,0))</f>
        <v/>
      </c>
      <c r="AM944" s="7" t="str">
        <f aca="true">IF(I944="","",TODAY()-I944)</f>
        <v/>
      </c>
      <c r="AN944" s="7" t="str">
        <f aca="false">IF(A944="","",IF(AND(E944&lt;&gt;"33 確認済",E944&lt;&gt;"36 送付中"),1,0))</f>
        <v/>
      </c>
      <c r="AO944" s="7" t="str">
        <f aca="false">IF(A944="","",IF(AG944&lt;&gt;"",1,0))</f>
        <v/>
      </c>
    </row>
    <row r="945" customFormat="false" ht="15" hidden="false" customHeight="false" outlineLevel="0" collapsed="false">
      <c r="AL945" s="7" t="str">
        <f aca="false">IF(A945="","",IF(COUNTIF(A945:A$2001,A945)=1,1,0))</f>
        <v/>
      </c>
      <c r="AM945" s="7" t="str">
        <f aca="true">IF(I945="","",TODAY()-I945)</f>
        <v/>
      </c>
      <c r="AN945" s="7" t="str">
        <f aca="false">IF(A945="","",IF(AND(E945&lt;&gt;"33 確認済",E945&lt;&gt;"36 送付中"),1,0))</f>
        <v/>
      </c>
      <c r="AO945" s="7" t="str">
        <f aca="false">IF(A945="","",IF(AG945&lt;&gt;"",1,0))</f>
        <v/>
      </c>
    </row>
    <row r="946" customFormat="false" ht="15" hidden="false" customHeight="false" outlineLevel="0" collapsed="false">
      <c r="AL946" s="7" t="str">
        <f aca="false">IF(A946="","",IF(COUNTIF(A946:A$2001,A946)=1,1,0))</f>
        <v/>
      </c>
      <c r="AM946" s="7" t="str">
        <f aca="true">IF(I946="","",TODAY()-I946)</f>
        <v/>
      </c>
      <c r="AN946" s="7" t="str">
        <f aca="false">IF(A946="","",IF(AND(E946&lt;&gt;"33 確認済",E946&lt;&gt;"36 送付中"),1,0))</f>
        <v/>
      </c>
      <c r="AO946" s="7" t="str">
        <f aca="false">IF(A946="","",IF(AG946&lt;&gt;"",1,0))</f>
        <v/>
      </c>
    </row>
    <row r="947" customFormat="false" ht="15" hidden="false" customHeight="false" outlineLevel="0" collapsed="false">
      <c r="AL947" s="7" t="str">
        <f aca="false">IF(A947="","",IF(COUNTIF(A947:A$2001,A947)=1,1,0))</f>
        <v/>
      </c>
      <c r="AM947" s="7" t="str">
        <f aca="true">IF(I947="","",TODAY()-I947)</f>
        <v/>
      </c>
      <c r="AN947" s="7" t="str">
        <f aca="false">IF(A947="","",IF(AND(E947&lt;&gt;"33 確認済",E947&lt;&gt;"36 送付中"),1,0))</f>
        <v/>
      </c>
      <c r="AO947" s="7" t="str">
        <f aca="false">IF(A947="","",IF(AG947&lt;&gt;"",1,0))</f>
        <v/>
      </c>
    </row>
    <row r="948" customFormat="false" ht="15" hidden="false" customHeight="false" outlineLevel="0" collapsed="false">
      <c r="AL948" s="7" t="str">
        <f aca="false">IF(A948="","",IF(COUNTIF(A948:A$2001,A948)=1,1,0))</f>
        <v/>
      </c>
      <c r="AM948" s="7" t="str">
        <f aca="true">IF(I948="","",TODAY()-I948)</f>
        <v/>
      </c>
      <c r="AN948" s="7" t="str">
        <f aca="false">IF(A948="","",IF(AND(E948&lt;&gt;"33 確認済",E948&lt;&gt;"36 送付中"),1,0))</f>
        <v/>
      </c>
      <c r="AO948" s="7" t="str">
        <f aca="false">IF(A948="","",IF(AG948&lt;&gt;"",1,0))</f>
        <v/>
      </c>
    </row>
    <row r="949" customFormat="false" ht="15" hidden="false" customHeight="false" outlineLevel="0" collapsed="false">
      <c r="AL949" s="7" t="str">
        <f aca="false">IF(A949="","",IF(COUNTIF(A949:A$2001,A949)=1,1,0))</f>
        <v/>
      </c>
      <c r="AM949" s="7" t="str">
        <f aca="true">IF(I949="","",TODAY()-I949)</f>
        <v/>
      </c>
      <c r="AN949" s="7" t="str">
        <f aca="false">IF(A949="","",IF(AND(E949&lt;&gt;"33 確認済",E949&lt;&gt;"36 送付中"),1,0))</f>
        <v/>
      </c>
      <c r="AO949" s="7" t="str">
        <f aca="false">IF(A949="","",IF(AG949&lt;&gt;"",1,0))</f>
        <v/>
      </c>
    </row>
    <row r="950" customFormat="false" ht="15" hidden="false" customHeight="false" outlineLevel="0" collapsed="false">
      <c r="AL950" s="7" t="str">
        <f aca="false">IF(A950="","",IF(COUNTIF(A950:A$2001,A950)=1,1,0))</f>
        <v/>
      </c>
      <c r="AM950" s="7" t="str">
        <f aca="true">IF(I950="","",TODAY()-I950)</f>
        <v/>
      </c>
      <c r="AN950" s="7" t="str">
        <f aca="false">IF(A950="","",IF(AND(E950&lt;&gt;"33 確認済",E950&lt;&gt;"36 送付中"),1,0))</f>
        <v/>
      </c>
      <c r="AO950" s="7" t="str">
        <f aca="false">IF(A950="","",IF(AG950&lt;&gt;"",1,0))</f>
        <v/>
      </c>
    </row>
    <row r="951" customFormat="false" ht="15" hidden="false" customHeight="false" outlineLevel="0" collapsed="false">
      <c r="AL951" s="7" t="str">
        <f aca="false">IF(A951="","",IF(COUNTIF(A951:A$2001,A951)=1,1,0))</f>
        <v/>
      </c>
      <c r="AM951" s="7" t="str">
        <f aca="true">IF(I951="","",TODAY()-I951)</f>
        <v/>
      </c>
      <c r="AN951" s="7" t="str">
        <f aca="false">IF(A951="","",IF(AND(E951&lt;&gt;"33 確認済",E951&lt;&gt;"36 送付中"),1,0))</f>
        <v/>
      </c>
      <c r="AO951" s="7" t="str">
        <f aca="false">IF(A951="","",IF(AG951&lt;&gt;"",1,0))</f>
        <v/>
      </c>
    </row>
    <row r="952" customFormat="false" ht="15" hidden="false" customHeight="false" outlineLevel="0" collapsed="false">
      <c r="AL952" s="7" t="str">
        <f aca="false">IF(A952="","",IF(COUNTIF(A952:A$2001,A952)=1,1,0))</f>
        <v/>
      </c>
      <c r="AM952" s="7" t="str">
        <f aca="true">IF(I952="","",TODAY()-I952)</f>
        <v/>
      </c>
      <c r="AN952" s="7" t="str">
        <f aca="false">IF(A952="","",IF(AND(E952&lt;&gt;"33 確認済",E952&lt;&gt;"36 送付中"),1,0))</f>
        <v/>
      </c>
      <c r="AO952" s="7" t="str">
        <f aca="false">IF(A952="","",IF(AG952&lt;&gt;"",1,0))</f>
        <v/>
      </c>
    </row>
    <row r="953" customFormat="false" ht="15" hidden="false" customHeight="false" outlineLevel="0" collapsed="false">
      <c r="AL953" s="7" t="str">
        <f aca="false">IF(A953="","",IF(COUNTIF(A953:A$2001,A953)=1,1,0))</f>
        <v/>
      </c>
      <c r="AM953" s="7" t="str">
        <f aca="true">IF(I953="","",TODAY()-I953)</f>
        <v/>
      </c>
      <c r="AN953" s="7" t="str">
        <f aca="false">IF(A953="","",IF(AND(E953&lt;&gt;"33 確認済",E953&lt;&gt;"36 送付中"),1,0))</f>
        <v/>
      </c>
      <c r="AO953" s="7" t="str">
        <f aca="false">IF(A953="","",IF(AG953&lt;&gt;"",1,0))</f>
        <v/>
      </c>
    </row>
    <row r="954" customFormat="false" ht="15" hidden="false" customHeight="false" outlineLevel="0" collapsed="false">
      <c r="AL954" s="7" t="str">
        <f aca="false">IF(A954="","",IF(COUNTIF(A954:A$2001,A954)=1,1,0))</f>
        <v/>
      </c>
      <c r="AM954" s="7" t="str">
        <f aca="true">IF(I954="","",TODAY()-I954)</f>
        <v/>
      </c>
      <c r="AN954" s="7" t="str">
        <f aca="false">IF(A954="","",IF(AND(E954&lt;&gt;"33 確認済",E954&lt;&gt;"36 送付中"),1,0))</f>
        <v/>
      </c>
      <c r="AO954" s="7" t="str">
        <f aca="false">IF(A954="","",IF(AG954&lt;&gt;"",1,0))</f>
        <v/>
      </c>
    </row>
    <row r="955" customFormat="false" ht="15" hidden="false" customHeight="false" outlineLevel="0" collapsed="false">
      <c r="AL955" s="7" t="str">
        <f aca="false">IF(A955="","",IF(COUNTIF(A955:A$2001,A955)=1,1,0))</f>
        <v/>
      </c>
      <c r="AM955" s="7" t="str">
        <f aca="true">IF(I955="","",TODAY()-I955)</f>
        <v/>
      </c>
      <c r="AN955" s="7" t="str">
        <f aca="false">IF(A955="","",IF(AND(E955&lt;&gt;"33 確認済",E955&lt;&gt;"36 送付中"),1,0))</f>
        <v/>
      </c>
      <c r="AO955" s="7" t="str">
        <f aca="false">IF(A955="","",IF(AG955&lt;&gt;"",1,0))</f>
        <v/>
      </c>
    </row>
    <row r="956" customFormat="false" ht="15" hidden="false" customHeight="false" outlineLevel="0" collapsed="false">
      <c r="AL956" s="7" t="str">
        <f aca="false">IF(A956="","",IF(COUNTIF(A956:A$2001,A956)=1,1,0))</f>
        <v/>
      </c>
      <c r="AM956" s="7" t="str">
        <f aca="true">IF(I956="","",TODAY()-I956)</f>
        <v/>
      </c>
      <c r="AN956" s="7" t="str">
        <f aca="false">IF(A956="","",IF(AND(E956&lt;&gt;"33 確認済",E956&lt;&gt;"36 送付中"),1,0))</f>
        <v/>
      </c>
      <c r="AO956" s="7" t="str">
        <f aca="false">IF(A956="","",IF(AG956&lt;&gt;"",1,0))</f>
        <v/>
      </c>
    </row>
    <row r="957" customFormat="false" ht="15" hidden="false" customHeight="false" outlineLevel="0" collapsed="false">
      <c r="AL957" s="7" t="str">
        <f aca="false">IF(A957="","",IF(COUNTIF(A957:A$2001,A957)=1,1,0))</f>
        <v/>
      </c>
      <c r="AM957" s="7" t="str">
        <f aca="true">IF(I957="","",TODAY()-I957)</f>
        <v/>
      </c>
      <c r="AN957" s="7" t="str">
        <f aca="false">IF(A957="","",IF(AND(E957&lt;&gt;"33 確認済",E957&lt;&gt;"36 送付中"),1,0))</f>
        <v/>
      </c>
      <c r="AO957" s="7" t="str">
        <f aca="false">IF(A957="","",IF(AG957&lt;&gt;"",1,0))</f>
        <v/>
      </c>
    </row>
    <row r="958" customFormat="false" ht="15" hidden="false" customHeight="false" outlineLevel="0" collapsed="false">
      <c r="AL958" s="7" t="str">
        <f aca="false">IF(A958="","",IF(COUNTIF(A958:A$2001,A958)=1,1,0))</f>
        <v/>
      </c>
      <c r="AM958" s="7" t="str">
        <f aca="true">IF(I958="","",TODAY()-I958)</f>
        <v/>
      </c>
      <c r="AN958" s="7" t="str">
        <f aca="false">IF(A958="","",IF(AND(E958&lt;&gt;"33 確認済",E958&lt;&gt;"36 送付中"),1,0))</f>
        <v/>
      </c>
      <c r="AO958" s="7" t="str">
        <f aca="false">IF(A958="","",IF(AG958&lt;&gt;"",1,0))</f>
        <v/>
      </c>
    </row>
    <row r="959" customFormat="false" ht="15" hidden="false" customHeight="false" outlineLevel="0" collapsed="false">
      <c r="AL959" s="7" t="str">
        <f aca="false">IF(A959="","",IF(COUNTIF(A959:A$2001,A959)=1,1,0))</f>
        <v/>
      </c>
      <c r="AM959" s="7" t="str">
        <f aca="true">IF(I959="","",TODAY()-I959)</f>
        <v/>
      </c>
      <c r="AN959" s="7" t="str">
        <f aca="false">IF(A959="","",IF(AND(E959&lt;&gt;"33 確認済",E959&lt;&gt;"36 送付中"),1,0))</f>
        <v/>
      </c>
      <c r="AO959" s="7" t="str">
        <f aca="false">IF(A959="","",IF(AG959&lt;&gt;"",1,0))</f>
        <v/>
      </c>
    </row>
    <row r="960" customFormat="false" ht="15" hidden="false" customHeight="false" outlineLevel="0" collapsed="false">
      <c r="AL960" s="7" t="str">
        <f aca="false">IF(A960="","",IF(COUNTIF(A960:A$2001,A960)=1,1,0))</f>
        <v/>
      </c>
      <c r="AM960" s="7" t="str">
        <f aca="true">IF(I960="","",TODAY()-I960)</f>
        <v/>
      </c>
      <c r="AN960" s="7" t="str">
        <f aca="false">IF(A960="","",IF(AND(E960&lt;&gt;"33 確認済",E960&lt;&gt;"36 送付中"),1,0))</f>
        <v/>
      </c>
      <c r="AO960" s="7" t="str">
        <f aca="false">IF(A960="","",IF(AG960&lt;&gt;"",1,0))</f>
        <v/>
      </c>
    </row>
    <row r="961" customFormat="false" ht="15" hidden="false" customHeight="false" outlineLevel="0" collapsed="false">
      <c r="AL961" s="7" t="str">
        <f aca="false">IF(A961="","",IF(COUNTIF(A961:A$2001,A961)=1,1,0))</f>
        <v/>
      </c>
      <c r="AM961" s="7" t="str">
        <f aca="true">IF(I961="","",TODAY()-I961)</f>
        <v/>
      </c>
      <c r="AN961" s="7" t="str">
        <f aca="false">IF(A961="","",IF(AND(E961&lt;&gt;"33 確認済",E961&lt;&gt;"36 送付中"),1,0))</f>
        <v/>
      </c>
      <c r="AO961" s="7" t="str">
        <f aca="false">IF(A961="","",IF(AG961&lt;&gt;"",1,0))</f>
        <v/>
      </c>
    </row>
    <row r="962" customFormat="false" ht="15" hidden="false" customHeight="false" outlineLevel="0" collapsed="false">
      <c r="AL962" s="7" t="str">
        <f aca="false">IF(A962="","",IF(COUNTIF(A962:A$2001,A962)=1,1,0))</f>
        <v/>
      </c>
      <c r="AM962" s="7" t="str">
        <f aca="true">IF(I962="","",TODAY()-I962)</f>
        <v/>
      </c>
      <c r="AN962" s="7" t="str">
        <f aca="false">IF(A962="","",IF(AND(E962&lt;&gt;"33 確認済",E962&lt;&gt;"36 送付中"),1,0))</f>
        <v/>
      </c>
      <c r="AO962" s="7" t="str">
        <f aca="false">IF(A962="","",IF(AG962&lt;&gt;"",1,0))</f>
        <v/>
      </c>
    </row>
    <row r="963" customFormat="false" ht="15" hidden="false" customHeight="false" outlineLevel="0" collapsed="false">
      <c r="AL963" s="7" t="str">
        <f aca="false">IF(A963="","",IF(COUNTIF(A963:A$2001,A963)=1,1,0))</f>
        <v/>
      </c>
      <c r="AM963" s="7" t="str">
        <f aca="true">IF(I963="","",TODAY()-I963)</f>
        <v/>
      </c>
      <c r="AN963" s="7" t="str">
        <f aca="false">IF(A963="","",IF(AND(E963&lt;&gt;"33 確認済",E963&lt;&gt;"36 送付中"),1,0))</f>
        <v/>
      </c>
      <c r="AO963" s="7" t="str">
        <f aca="false">IF(A963="","",IF(AG963&lt;&gt;"",1,0))</f>
        <v/>
      </c>
    </row>
    <row r="964" customFormat="false" ht="15" hidden="false" customHeight="false" outlineLevel="0" collapsed="false">
      <c r="AL964" s="7" t="str">
        <f aca="false">IF(A964="","",IF(COUNTIF(A964:A$2001,A964)=1,1,0))</f>
        <v/>
      </c>
      <c r="AM964" s="7" t="str">
        <f aca="true">IF(I964="","",TODAY()-I964)</f>
        <v/>
      </c>
      <c r="AN964" s="7" t="str">
        <f aca="false">IF(A964="","",IF(AND(E964&lt;&gt;"33 確認済",E964&lt;&gt;"36 送付中"),1,0))</f>
        <v/>
      </c>
      <c r="AO964" s="7" t="str">
        <f aca="false">IF(A964="","",IF(AG964&lt;&gt;"",1,0))</f>
        <v/>
      </c>
    </row>
    <row r="965" customFormat="false" ht="15" hidden="false" customHeight="false" outlineLevel="0" collapsed="false">
      <c r="AL965" s="7" t="str">
        <f aca="false">IF(A965="","",IF(COUNTIF(A965:A$2001,A965)=1,1,0))</f>
        <v/>
      </c>
      <c r="AM965" s="7" t="str">
        <f aca="true">IF(I965="","",TODAY()-I965)</f>
        <v/>
      </c>
      <c r="AN965" s="7" t="str">
        <f aca="false">IF(A965="","",IF(AND(E965&lt;&gt;"33 確認済",E965&lt;&gt;"36 送付中"),1,0))</f>
        <v/>
      </c>
      <c r="AO965" s="7" t="str">
        <f aca="false">IF(A965="","",IF(AG965&lt;&gt;"",1,0))</f>
        <v/>
      </c>
    </row>
    <row r="966" customFormat="false" ht="15" hidden="false" customHeight="false" outlineLevel="0" collapsed="false">
      <c r="AL966" s="7" t="str">
        <f aca="false">IF(A966="","",IF(COUNTIF(A966:A$2001,A966)=1,1,0))</f>
        <v/>
      </c>
      <c r="AM966" s="7" t="str">
        <f aca="true">IF(I966="","",TODAY()-I966)</f>
        <v/>
      </c>
      <c r="AN966" s="7" t="str">
        <f aca="false">IF(A966="","",IF(AND(E966&lt;&gt;"33 確認済",E966&lt;&gt;"36 送付中"),1,0))</f>
        <v/>
      </c>
      <c r="AO966" s="7" t="str">
        <f aca="false">IF(A966="","",IF(AG966&lt;&gt;"",1,0))</f>
        <v/>
      </c>
    </row>
    <row r="967" customFormat="false" ht="15" hidden="false" customHeight="false" outlineLevel="0" collapsed="false">
      <c r="AL967" s="7" t="str">
        <f aca="false">IF(A967="","",IF(COUNTIF(A967:A$2001,A967)=1,1,0))</f>
        <v/>
      </c>
      <c r="AM967" s="7" t="str">
        <f aca="true">IF(I967="","",TODAY()-I967)</f>
        <v/>
      </c>
      <c r="AN967" s="7" t="str">
        <f aca="false">IF(A967="","",IF(AND(E967&lt;&gt;"33 確認済",E967&lt;&gt;"36 送付中"),1,0))</f>
        <v/>
      </c>
      <c r="AO967" s="7" t="str">
        <f aca="false">IF(A967="","",IF(AG967&lt;&gt;"",1,0))</f>
        <v/>
      </c>
    </row>
    <row r="968" customFormat="false" ht="15" hidden="false" customHeight="false" outlineLevel="0" collapsed="false">
      <c r="AL968" s="7" t="str">
        <f aca="false">IF(A968="","",IF(COUNTIF(A968:A$2001,A968)=1,1,0))</f>
        <v/>
      </c>
      <c r="AM968" s="7" t="str">
        <f aca="true">IF(I968="","",TODAY()-I968)</f>
        <v/>
      </c>
      <c r="AN968" s="7" t="str">
        <f aca="false">IF(A968="","",IF(AND(E968&lt;&gt;"33 確認済",E968&lt;&gt;"36 送付中"),1,0))</f>
        <v/>
      </c>
      <c r="AO968" s="7" t="str">
        <f aca="false">IF(A968="","",IF(AG968&lt;&gt;"",1,0))</f>
        <v/>
      </c>
    </row>
    <row r="969" customFormat="false" ht="15" hidden="false" customHeight="false" outlineLevel="0" collapsed="false">
      <c r="AL969" s="7" t="str">
        <f aca="false">IF(A969="","",IF(COUNTIF(A969:A$2001,A969)=1,1,0))</f>
        <v/>
      </c>
      <c r="AM969" s="7" t="str">
        <f aca="true">IF(I969="","",TODAY()-I969)</f>
        <v/>
      </c>
      <c r="AN969" s="7" t="str">
        <f aca="false">IF(A969="","",IF(AND(E969&lt;&gt;"33 確認済",E969&lt;&gt;"36 送付中"),1,0))</f>
        <v/>
      </c>
      <c r="AO969" s="7" t="str">
        <f aca="false">IF(A969="","",IF(AG969&lt;&gt;"",1,0))</f>
        <v/>
      </c>
    </row>
    <row r="970" customFormat="false" ht="15" hidden="false" customHeight="false" outlineLevel="0" collapsed="false">
      <c r="AL970" s="7" t="str">
        <f aca="false">IF(A970="","",IF(COUNTIF(A970:A$2001,A970)=1,1,0))</f>
        <v/>
      </c>
      <c r="AM970" s="7" t="str">
        <f aca="true">IF(I970="","",TODAY()-I970)</f>
        <v/>
      </c>
      <c r="AN970" s="7" t="str">
        <f aca="false">IF(A970="","",IF(AND(E970&lt;&gt;"33 確認済",E970&lt;&gt;"36 送付中"),1,0))</f>
        <v/>
      </c>
      <c r="AO970" s="7" t="str">
        <f aca="false">IF(A970="","",IF(AG970&lt;&gt;"",1,0))</f>
        <v/>
      </c>
    </row>
    <row r="971" customFormat="false" ht="15" hidden="false" customHeight="false" outlineLevel="0" collapsed="false">
      <c r="AL971" s="7" t="str">
        <f aca="false">IF(A971="","",IF(COUNTIF(A971:A$2001,A971)=1,1,0))</f>
        <v/>
      </c>
      <c r="AM971" s="7" t="str">
        <f aca="true">IF(I971="","",TODAY()-I971)</f>
        <v/>
      </c>
      <c r="AN971" s="7" t="str">
        <f aca="false">IF(A971="","",IF(AND(E971&lt;&gt;"33 確認済",E971&lt;&gt;"36 送付中"),1,0))</f>
        <v/>
      </c>
      <c r="AO971" s="7" t="str">
        <f aca="false">IF(A971="","",IF(AG971&lt;&gt;"",1,0))</f>
        <v/>
      </c>
    </row>
    <row r="972" customFormat="false" ht="15" hidden="false" customHeight="false" outlineLevel="0" collapsed="false">
      <c r="AL972" s="7" t="str">
        <f aca="false">IF(A972="","",IF(COUNTIF(A972:A$2001,A972)=1,1,0))</f>
        <v/>
      </c>
      <c r="AM972" s="7" t="str">
        <f aca="true">IF(I972="","",TODAY()-I972)</f>
        <v/>
      </c>
      <c r="AN972" s="7" t="str">
        <f aca="false">IF(A972="","",IF(AND(E972&lt;&gt;"33 確認済",E972&lt;&gt;"36 送付中"),1,0))</f>
        <v/>
      </c>
      <c r="AO972" s="7" t="str">
        <f aca="false">IF(A972="","",IF(AG972&lt;&gt;"",1,0))</f>
        <v/>
      </c>
    </row>
    <row r="973" customFormat="false" ht="15" hidden="false" customHeight="false" outlineLevel="0" collapsed="false">
      <c r="AL973" s="7" t="str">
        <f aca="false">IF(A973="","",IF(COUNTIF(A973:A$2001,A973)=1,1,0))</f>
        <v/>
      </c>
      <c r="AM973" s="7" t="str">
        <f aca="true">IF(I973="","",TODAY()-I973)</f>
        <v/>
      </c>
      <c r="AN973" s="7" t="str">
        <f aca="false">IF(A973="","",IF(AND(E973&lt;&gt;"33 確認済",E973&lt;&gt;"36 送付中"),1,0))</f>
        <v/>
      </c>
      <c r="AO973" s="7" t="str">
        <f aca="false">IF(A973="","",IF(AG973&lt;&gt;"",1,0))</f>
        <v/>
      </c>
    </row>
    <row r="974" customFormat="false" ht="15" hidden="false" customHeight="false" outlineLevel="0" collapsed="false">
      <c r="AL974" s="7" t="str">
        <f aca="false">IF(A974="","",IF(COUNTIF(A974:A$2001,A974)=1,1,0))</f>
        <v/>
      </c>
      <c r="AM974" s="7" t="str">
        <f aca="true">IF(I974="","",TODAY()-I974)</f>
        <v/>
      </c>
      <c r="AN974" s="7" t="str">
        <f aca="false">IF(A974="","",IF(AND(E974&lt;&gt;"33 確認済",E974&lt;&gt;"36 送付中"),1,0))</f>
        <v/>
      </c>
      <c r="AO974" s="7" t="str">
        <f aca="false">IF(A974="","",IF(AG974&lt;&gt;"",1,0))</f>
        <v/>
      </c>
    </row>
    <row r="975" customFormat="false" ht="15" hidden="false" customHeight="false" outlineLevel="0" collapsed="false">
      <c r="AL975" s="7" t="str">
        <f aca="false">IF(A975="","",IF(COUNTIF(A975:A$2001,A975)=1,1,0))</f>
        <v/>
      </c>
      <c r="AM975" s="7" t="str">
        <f aca="true">IF(I975="","",TODAY()-I975)</f>
        <v/>
      </c>
      <c r="AN975" s="7" t="str">
        <f aca="false">IF(A975="","",IF(AND(E975&lt;&gt;"33 確認済",E975&lt;&gt;"36 送付中"),1,0))</f>
        <v/>
      </c>
      <c r="AO975" s="7" t="str">
        <f aca="false">IF(A975="","",IF(AG975&lt;&gt;"",1,0))</f>
        <v/>
      </c>
    </row>
    <row r="976" customFormat="false" ht="15" hidden="false" customHeight="false" outlineLevel="0" collapsed="false">
      <c r="AL976" s="7" t="str">
        <f aca="false">IF(A976="","",IF(COUNTIF(A976:A$2001,A976)=1,1,0))</f>
        <v/>
      </c>
      <c r="AM976" s="7" t="str">
        <f aca="true">IF(I976="","",TODAY()-I976)</f>
        <v/>
      </c>
      <c r="AN976" s="7" t="str">
        <f aca="false">IF(A976="","",IF(AND(E976&lt;&gt;"33 確認済",E976&lt;&gt;"36 送付中"),1,0))</f>
        <v/>
      </c>
      <c r="AO976" s="7" t="str">
        <f aca="false">IF(A976="","",IF(AG976&lt;&gt;"",1,0))</f>
        <v/>
      </c>
    </row>
    <row r="977" customFormat="false" ht="15" hidden="false" customHeight="false" outlineLevel="0" collapsed="false">
      <c r="AL977" s="7" t="str">
        <f aca="false">IF(A977="","",IF(COUNTIF(A977:A$2001,A977)=1,1,0))</f>
        <v/>
      </c>
      <c r="AM977" s="7" t="str">
        <f aca="true">IF(I977="","",TODAY()-I977)</f>
        <v/>
      </c>
      <c r="AN977" s="7" t="str">
        <f aca="false">IF(A977="","",IF(AND(E977&lt;&gt;"33 確認済",E977&lt;&gt;"36 送付中"),1,0))</f>
        <v/>
      </c>
      <c r="AO977" s="7" t="str">
        <f aca="false">IF(A977="","",IF(AG977&lt;&gt;"",1,0))</f>
        <v/>
      </c>
    </row>
    <row r="978" customFormat="false" ht="15" hidden="false" customHeight="false" outlineLevel="0" collapsed="false">
      <c r="AL978" s="7" t="str">
        <f aca="false">IF(A978="","",IF(COUNTIF(A978:A$2001,A978)=1,1,0))</f>
        <v/>
      </c>
      <c r="AM978" s="7" t="str">
        <f aca="true">IF(I978="","",TODAY()-I978)</f>
        <v/>
      </c>
      <c r="AN978" s="7" t="str">
        <f aca="false">IF(A978="","",IF(AND(E978&lt;&gt;"33 確認済",E978&lt;&gt;"36 送付中"),1,0))</f>
        <v/>
      </c>
      <c r="AO978" s="7" t="str">
        <f aca="false">IF(A978="","",IF(AG978&lt;&gt;"",1,0))</f>
        <v/>
      </c>
    </row>
    <row r="979" customFormat="false" ht="15" hidden="false" customHeight="false" outlineLevel="0" collapsed="false">
      <c r="AL979" s="7" t="str">
        <f aca="false">IF(A979="","",IF(COUNTIF(A979:A$2001,A979)=1,1,0))</f>
        <v/>
      </c>
      <c r="AM979" s="7" t="str">
        <f aca="true">IF(I979="","",TODAY()-I979)</f>
        <v/>
      </c>
      <c r="AN979" s="7" t="str">
        <f aca="false">IF(A979="","",IF(AND(E979&lt;&gt;"33 確認済",E979&lt;&gt;"36 送付中"),1,0))</f>
        <v/>
      </c>
      <c r="AO979" s="7" t="str">
        <f aca="false">IF(A979="","",IF(AG979&lt;&gt;"",1,0))</f>
        <v/>
      </c>
    </row>
    <row r="980" customFormat="false" ht="15" hidden="false" customHeight="false" outlineLevel="0" collapsed="false">
      <c r="AL980" s="7" t="str">
        <f aca="false">IF(A980="","",IF(COUNTIF(A980:A$2001,A980)=1,1,0))</f>
        <v/>
      </c>
      <c r="AM980" s="7" t="str">
        <f aca="true">IF(I980="","",TODAY()-I980)</f>
        <v/>
      </c>
      <c r="AN980" s="7" t="str">
        <f aca="false">IF(A980="","",IF(AND(E980&lt;&gt;"33 確認済",E980&lt;&gt;"36 送付中"),1,0))</f>
        <v/>
      </c>
      <c r="AO980" s="7" t="str">
        <f aca="false">IF(A980="","",IF(AG980&lt;&gt;"",1,0))</f>
        <v/>
      </c>
    </row>
    <row r="981" customFormat="false" ht="15" hidden="false" customHeight="false" outlineLevel="0" collapsed="false">
      <c r="AL981" s="7" t="str">
        <f aca="false">IF(A981="","",IF(COUNTIF(A981:A$2001,A981)=1,1,0))</f>
        <v/>
      </c>
      <c r="AM981" s="7" t="str">
        <f aca="true">IF(I981="","",TODAY()-I981)</f>
        <v/>
      </c>
      <c r="AN981" s="7" t="str">
        <f aca="false">IF(A981="","",IF(AND(E981&lt;&gt;"33 確認済",E981&lt;&gt;"36 送付中"),1,0))</f>
        <v/>
      </c>
      <c r="AO981" s="7" t="str">
        <f aca="false">IF(A981="","",IF(AG981&lt;&gt;"",1,0))</f>
        <v/>
      </c>
    </row>
    <row r="982" customFormat="false" ht="15" hidden="false" customHeight="false" outlineLevel="0" collapsed="false">
      <c r="AL982" s="7" t="str">
        <f aca="false">IF(A982="","",IF(COUNTIF(A982:A$2001,A982)=1,1,0))</f>
        <v/>
      </c>
      <c r="AM982" s="7" t="str">
        <f aca="true">IF(I982="","",TODAY()-I982)</f>
        <v/>
      </c>
      <c r="AN982" s="7" t="str">
        <f aca="false">IF(A982="","",IF(AND(E982&lt;&gt;"33 確認済",E982&lt;&gt;"36 送付中"),1,0))</f>
        <v/>
      </c>
      <c r="AO982" s="7" t="str">
        <f aca="false">IF(A982="","",IF(AG982&lt;&gt;"",1,0))</f>
        <v/>
      </c>
    </row>
    <row r="983" customFormat="false" ht="15" hidden="false" customHeight="false" outlineLevel="0" collapsed="false">
      <c r="AL983" s="7" t="str">
        <f aca="false">IF(A983="","",IF(COUNTIF(A983:A$2001,A983)=1,1,0))</f>
        <v/>
      </c>
      <c r="AM983" s="7" t="str">
        <f aca="true">IF(I983="","",TODAY()-I983)</f>
        <v/>
      </c>
      <c r="AN983" s="7" t="str">
        <f aca="false">IF(A983="","",IF(AND(E983&lt;&gt;"33 確認済",E983&lt;&gt;"36 送付中"),1,0))</f>
        <v/>
      </c>
      <c r="AO983" s="7" t="str">
        <f aca="false">IF(A983="","",IF(AG983&lt;&gt;"",1,0))</f>
        <v/>
      </c>
    </row>
    <row r="984" customFormat="false" ht="15" hidden="false" customHeight="false" outlineLevel="0" collapsed="false">
      <c r="AL984" s="7" t="str">
        <f aca="false">IF(A984="","",IF(COUNTIF(A984:A$2001,A984)=1,1,0))</f>
        <v/>
      </c>
      <c r="AM984" s="7" t="str">
        <f aca="true">IF(I984="","",TODAY()-I984)</f>
        <v/>
      </c>
      <c r="AN984" s="7" t="str">
        <f aca="false">IF(A984="","",IF(AND(E984&lt;&gt;"33 確認済",E984&lt;&gt;"36 送付中"),1,0))</f>
        <v/>
      </c>
      <c r="AO984" s="7" t="str">
        <f aca="false">IF(A984="","",IF(AG984&lt;&gt;"",1,0))</f>
        <v/>
      </c>
    </row>
    <row r="985" customFormat="false" ht="15" hidden="false" customHeight="false" outlineLevel="0" collapsed="false">
      <c r="AL985" s="7" t="str">
        <f aca="false">IF(A985="","",IF(COUNTIF(A985:A$2001,A985)=1,1,0))</f>
        <v/>
      </c>
      <c r="AM985" s="7" t="str">
        <f aca="true">IF(I985="","",TODAY()-I985)</f>
        <v/>
      </c>
      <c r="AN985" s="7" t="str">
        <f aca="false">IF(A985="","",IF(AND(E985&lt;&gt;"33 確認済",E985&lt;&gt;"36 送付中"),1,0))</f>
        <v/>
      </c>
      <c r="AO985" s="7" t="str">
        <f aca="false">IF(A985="","",IF(AG985&lt;&gt;"",1,0))</f>
        <v/>
      </c>
    </row>
    <row r="986" customFormat="false" ht="15" hidden="false" customHeight="false" outlineLevel="0" collapsed="false">
      <c r="AL986" s="7" t="str">
        <f aca="false">IF(A986="","",IF(COUNTIF(A986:A$2001,A986)=1,1,0))</f>
        <v/>
      </c>
      <c r="AM986" s="7" t="str">
        <f aca="true">IF(I986="","",TODAY()-I986)</f>
        <v/>
      </c>
      <c r="AN986" s="7" t="str">
        <f aca="false">IF(A986="","",IF(AND(E986&lt;&gt;"33 確認済",E986&lt;&gt;"36 送付中"),1,0))</f>
        <v/>
      </c>
      <c r="AO986" s="7" t="str">
        <f aca="false">IF(A986="","",IF(AG986&lt;&gt;"",1,0))</f>
        <v/>
      </c>
    </row>
    <row r="987" customFormat="false" ht="15" hidden="false" customHeight="false" outlineLevel="0" collapsed="false">
      <c r="AL987" s="7" t="str">
        <f aca="false">IF(A987="","",IF(COUNTIF(A987:A$2001,A987)=1,1,0))</f>
        <v/>
      </c>
      <c r="AM987" s="7" t="str">
        <f aca="true">IF(I987="","",TODAY()-I987)</f>
        <v/>
      </c>
      <c r="AN987" s="7" t="str">
        <f aca="false">IF(A987="","",IF(AND(E987&lt;&gt;"33 確認済",E987&lt;&gt;"36 送付中"),1,0))</f>
        <v/>
      </c>
      <c r="AO987" s="7" t="str">
        <f aca="false">IF(A987="","",IF(AG987&lt;&gt;"",1,0))</f>
        <v/>
      </c>
    </row>
    <row r="988" customFormat="false" ht="15" hidden="false" customHeight="false" outlineLevel="0" collapsed="false">
      <c r="AL988" s="7" t="str">
        <f aca="false">IF(A988="","",IF(COUNTIF(A988:A$2001,A988)=1,1,0))</f>
        <v/>
      </c>
      <c r="AM988" s="7" t="str">
        <f aca="true">IF(I988="","",TODAY()-I988)</f>
        <v/>
      </c>
      <c r="AN988" s="7" t="str">
        <f aca="false">IF(A988="","",IF(AND(E988&lt;&gt;"33 確認済",E988&lt;&gt;"36 送付中"),1,0))</f>
        <v/>
      </c>
      <c r="AO988" s="7" t="str">
        <f aca="false">IF(A988="","",IF(AG988&lt;&gt;"",1,0))</f>
        <v/>
      </c>
    </row>
    <row r="989" customFormat="false" ht="15" hidden="false" customHeight="false" outlineLevel="0" collapsed="false">
      <c r="AL989" s="7" t="str">
        <f aca="false">IF(A989="","",IF(COUNTIF(A989:A$2001,A989)=1,1,0))</f>
        <v/>
      </c>
      <c r="AM989" s="7" t="str">
        <f aca="true">IF(I989="","",TODAY()-I989)</f>
        <v/>
      </c>
      <c r="AN989" s="7" t="str">
        <f aca="false">IF(A989="","",IF(AND(E989&lt;&gt;"33 確認済",E989&lt;&gt;"36 送付中"),1,0))</f>
        <v/>
      </c>
      <c r="AO989" s="7" t="str">
        <f aca="false">IF(A989="","",IF(AG989&lt;&gt;"",1,0))</f>
        <v/>
      </c>
    </row>
    <row r="990" customFormat="false" ht="15" hidden="false" customHeight="false" outlineLevel="0" collapsed="false">
      <c r="AL990" s="7" t="str">
        <f aca="false">IF(A990="","",IF(COUNTIF(A990:A$2001,A990)=1,1,0))</f>
        <v/>
      </c>
      <c r="AM990" s="7" t="str">
        <f aca="true">IF(I990="","",TODAY()-I990)</f>
        <v/>
      </c>
      <c r="AN990" s="7" t="str">
        <f aca="false">IF(A990="","",IF(AND(E990&lt;&gt;"33 確認済",E990&lt;&gt;"36 送付中"),1,0))</f>
        <v/>
      </c>
      <c r="AO990" s="7" t="str">
        <f aca="false">IF(A990="","",IF(AG990&lt;&gt;"",1,0))</f>
        <v/>
      </c>
    </row>
    <row r="991" customFormat="false" ht="15" hidden="false" customHeight="false" outlineLevel="0" collapsed="false">
      <c r="AL991" s="7" t="str">
        <f aca="false">IF(A991="","",IF(COUNTIF(A991:A$2001,A991)=1,1,0))</f>
        <v/>
      </c>
      <c r="AM991" s="7" t="str">
        <f aca="true">IF(I991="","",TODAY()-I991)</f>
        <v/>
      </c>
      <c r="AN991" s="7" t="str">
        <f aca="false">IF(A991="","",IF(AND(E991&lt;&gt;"33 確認済",E991&lt;&gt;"36 送付中"),1,0))</f>
        <v/>
      </c>
      <c r="AO991" s="7" t="str">
        <f aca="false">IF(A991="","",IF(AG991&lt;&gt;"",1,0))</f>
        <v/>
      </c>
    </row>
    <row r="992" customFormat="false" ht="15" hidden="false" customHeight="false" outlineLevel="0" collapsed="false">
      <c r="AL992" s="7" t="str">
        <f aca="false">IF(A992="","",IF(COUNTIF(A992:A$2001,A992)=1,1,0))</f>
        <v/>
      </c>
      <c r="AM992" s="7" t="str">
        <f aca="true">IF(I992="","",TODAY()-I992)</f>
        <v/>
      </c>
      <c r="AN992" s="7" t="str">
        <f aca="false">IF(A992="","",IF(AND(E992&lt;&gt;"33 確認済",E992&lt;&gt;"36 送付中"),1,0))</f>
        <v/>
      </c>
      <c r="AO992" s="7" t="str">
        <f aca="false">IF(A992="","",IF(AG992&lt;&gt;"",1,0))</f>
        <v/>
      </c>
    </row>
    <row r="993" customFormat="false" ht="15" hidden="false" customHeight="false" outlineLevel="0" collapsed="false">
      <c r="AL993" s="7" t="str">
        <f aca="false">IF(A993="","",IF(COUNTIF(A993:A$2001,A993)=1,1,0))</f>
        <v/>
      </c>
      <c r="AM993" s="7" t="str">
        <f aca="true">IF(I993="","",TODAY()-I993)</f>
        <v/>
      </c>
      <c r="AN993" s="7" t="str">
        <f aca="false">IF(A993="","",IF(AND(E993&lt;&gt;"33 確認済",E993&lt;&gt;"36 送付中"),1,0))</f>
        <v/>
      </c>
      <c r="AO993" s="7" t="str">
        <f aca="false">IF(A993="","",IF(AG993&lt;&gt;"",1,0))</f>
        <v/>
      </c>
    </row>
    <row r="994" customFormat="false" ht="15" hidden="false" customHeight="false" outlineLevel="0" collapsed="false">
      <c r="AL994" s="7" t="str">
        <f aca="false">IF(A994="","",IF(COUNTIF(A994:A$2001,A994)=1,1,0))</f>
        <v/>
      </c>
      <c r="AM994" s="7" t="str">
        <f aca="true">IF(I994="","",TODAY()-I994)</f>
        <v/>
      </c>
      <c r="AN994" s="7" t="str">
        <f aca="false">IF(A994="","",IF(AND(E994&lt;&gt;"33 確認済",E994&lt;&gt;"36 送付中"),1,0))</f>
        <v/>
      </c>
      <c r="AO994" s="7" t="str">
        <f aca="false">IF(A994="","",IF(AG994&lt;&gt;"",1,0))</f>
        <v/>
      </c>
    </row>
    <row r="995" customFormat="false" ht="15" hidden="false" customHeight="false" outlineLevel="0" collapsed="false">
      <c r="AL995" s="7" t="str">
        <f aca="false">IF(A995="","",IF(COUNTIF(A995:A$2001,A995)=1,1,0))</f>
        <v/>
      </c>
      <c r="AM995" s="7" t="str">
        <f aca="true">IF(I995="","",TODAY()-I995)</f>
        <v/>
      </c>
      <c r="AN995" s="7" t="str">
        <f aca="false">IF(A995="","",IF(AND(E995&lt;&gt;"33 確認済",E995&lt;&gt;"36 送付中"),1,0))</f>
        <v/>
      </c>
      <c r="AO995" s="7" t="str">
        <f aca="false">IF(A995="","",IF(AG995&lt;&gt;"",1,0))</f>
        <v/>
      </c>
    </row>
    <row r="996" customFormat="false" ht="15" hidden="false" customHeight="false" outlineLevel="0" collapsed="false">
      <c r="AL996" s="7" t="str">
        <f aca="false">IF(A996="","",IF(COUNTIF(A996:A$2001,A996)=1,1,0))</f>
        <v/>
      </c>
      <c r="AM996" s="7" t="str">
        <f aca="true">IF(I996="","",TODAY()-I996)</f>
        <v/>
      </c>
      <c r="AN996" s="7" t="str">
        <f aca="false">IF(A996="","",IF(AND(E996&lt;&gt;"33 確認済",E996&lt;&gt;"36 送付中"),1,0))</f>
        <v/>
      </c>
      <c r="AO996" s="7" t="str">
        <f aca="false">IF(A996="","",IF(AG996&lt;&gt;"",1,0))</f>
        <v/>
      </c>
    </row>
    <row r="997" customFormat="false" ht="15" hidden="false" customHeight="false" outlineLevel="0" collapsed="false">
      <c r="AL997" s="7" t="str">
        <f aca="false">IF(A997="","",IF(COUNTIF(A997:A$2001,A997)=1,1,0))</f>
        <v/>
      </c>
      <c r="AM997" s="7" t="str">
        <f aca="true">IF(I997="","",TODAY()-I997)</f>
        <v/>
      </c>
      <c r="AN997" s="7" t="str">
        <f aca="false">IF(A997="","",IF(AND(E997&lt;&gt;"33 確認済",E997&lt;&gt;"36 送付中"),1,0))</f>
        <v/>
      </c>
      <c r="AO997" s="7" t="str">
        <f aca="false">IF(A997="","",IF(AG997&lt;&gt;"",1,0))</f>
        <v/>
      </c>
    </row>
    <row r="998" customFormat="false" ht="15" hidden="false" customHeight="false" outlineLevel="0" collapsed="false">
      <c r="AL998" s="7" t="str">
        <f aca="false">IF(A998="","",IF(COUNTIF(A998:A$2001,A998)=1,1,0))</f>
        <v/>
      </c>
      <c r="AM998" s="7" t="str">
        <f aca="true">IF(I998="","",TODAY()-I998)</f>
        <v/>
      </c>
      <c r="AN998" s="7" t="str">
        <f aca="false">IF(A998="","",IF(AND(E998&lt;&gt;"33 確認済",E998&lt;&gt;"36 送付中"),1,0))</f>
        <v/>
      </c>
      <c r="AO998" s="7" t="str">
        <f aca="false">IF(A998="","",IF(AG998&lt;&gt;"",1,0))</f>
        <v/>
      </c>
    </row>
    <row r="999" customFormat="false" ht="15" hidden="false" customHeight="false" outlineLevel="0" collapsed="false">
      <c r="AL999" s="7" t="str">
        <f aca="false">IF(A999="","",IF(COUNTIF(A999:A$2001,A999)=1,1,0))</f>
        <v/>
      </c>
      <c r="AM999" s="7" t="str">
        <f aca="true">IF(I999="","",TODAY()-I999)</f>
        <v/>
      </c>
      <c r="AN999" s="7" t="str">
        <f aca="false">IF(A999="","",IF(AND(E999&lt;&gt;"33 確認済",E999&lt;&gt;"36 送付中"),1,0))</f>
        <v/>
      </c>
      <c r="AO999" s="7" t="str">
        <f aca="false">IF(A999="","",IF(AG999&lt;&gt;"",1,0))</f>
        <v/>
      </c>
    </row>
    <row r="1000" customFormat="false" ht="15" hidden="false" customHeight="false" outlineLevel="0" collapsed="false">
      <c r="AL1000" s="7" t="str">
        <f aca="false">IF(A1000="","",IF(COUNTIF(A1000:A$2001,A1000)=1,1,0))</f>
        <v/>
      </c>
      <c r="AM1000" s="7" t="str">
        <f aca="true">IF(I1000="","",TODAY()-I1000)</f>
        <v/>
      </c>
      <c r="AN1000" s="7" t="str">
        <f aca="false">IF(A1000="","",IF(AND(E1000&lt;&gt;"33 確認済",E1000&lt;&gt;"36 送付中"),1,0))</f>
        <v/>
      </c>
      <c r="AO1000" s="7" t="str">
        <f aca="false">IF(A1000="","",IF(AG1000&lt;&gt;"",1,0))</f>
        <v/>
      </c>
    </row>
    <row r="1001" customFormat="false" ht="15" hidden="false" customHeight="false" outlineLevel="0" collapsed="false">
      <c r="AL1001" s="7" t="str">
        <f aca="false">IF(A1001="","",IF(COUNTIF(A1001:A$2001,A1001)=1,1,0))</f>
        <v/>
      </c>
      <c r="AM1001" s="7" t="str">
        <f aca="true">IF(I1001="","",TODAY()-I1001)</f>
        <v/>
      </c>
      <c r="AN1001" s="7" t="str">
        <f aca="false">IF(A1001="","",IF(AND(E1001&lt;&gt;"33 確認済",E1001&lt;&gt;"36 送付中"),1,0))</f>
        <v/>
      </c>
      <c r="AO1001" s="7" t="str">
        <f aca="false">IF(A1001="","",IF(AG1001&lt;&gt;"",1,0))</f>
        <v/>
      </c>
    </row>
    <row r="1002" customFormat="false" ht="15" hidden="false" customHeight="false" outlineLevel="0" collapsed="false">
      <c r="AL1002" s="7" t="str">
        <f aca="false">IF(A1002="","",IF(COUNTIF(A1002:A$2001,A1002)=1,1,0))</f>
        <v/>
      </c>
      <c r="AM1002" s="7" t="str">
        <f aca="true">IF(I1002="","",TODAY()-I1002)</f>
        <v/>
      </c>
      <c r="AN1002" s="7" t="str">
        <f aca="false">IF(A1002="","",IF(AND(E1002&lt;&gt;"33 確認済",E1002&lt;&gt;"36 送付中"),1,0))</f>
        <v/>
      </c>
      <c r="AO1002" s="7" t="str">
        <f aca="false">IF(A1002="","",IF(AG1002&lt;&gt;"",1,0))</f>
        <v/>
      </c>
    </row>
    <row r="1003" customFormat="false" ht="15" hidden="false" customHeight="false" outlineLevel="0" collapsed="false">
      <c r="AL1003" s="7" t="str">
        <f aca="false">IF(A1003="","",IF(COUNTIF(A1003:A$2001,A1003)=1,1,0))</f>
        <v/>
      </c>
      <c r="AM1003" s="7" t="str">
        <f aca="true">IF(I1003="","",TODAY()-I1003)</f>
        <v/>
      </c>
      <c r="AN1003" s="7" t="str">
        <f aca="false">IF(A1003="","",IF(AND(E1003&lt;&gt;"33 確認済",E1003&lt;&gt;"36 送付中"),1,0))</f>
        <v/>
      </c>
      <c r="AO1003" s="7" t="str">
        <f aca="false">IF(A1003="","",IF(AG1003&lt;&gt;"",1,0))</f>
        <v/>
      </c>
    </row>
    <row r="1004" customFormat="false" ht="15" hidden="false" customHeight="false" outlineLevel="0" collapsed="false">
      <c r="AL1004" s="7" t="str">
        <f aca="false">IF(A1004="","",IF(COUNTIF(A1004:A$2001,A1004)=1,1,0))</f>
        <v/>
      </c>
      <c r="AM1004" s="7" t="str">
        <f aca="true">IF(I1004="","",TODAY()-I1004)</f>
        <v/>
      </c>
      <c r="AN1004" s="7" t="str">
        <f aca="false">IF(A1004="","",IF(AND(E1004&lt;&gt;"33 確認済",E1004&lt;&gt;"36 送付中"),1,0))</f>
        <v/>
      </c>
      <c r="AO1004" s="7" t="str">
        <f aca="false">IF(A1004="","",IF(AG1004&lt;&gt;"",1,0))</f>
        <v/>
      </c>
    </row>
    <row r="1005" customFormat="false" ht="15" hidden="false" customHeight="false" outlineLevel="0" collapsed="false">
      <c r="AL1005" s="7" t="str">
        <f aca="false">IF(A1005="","",IF(COUNTIF(A1005:A$2001,A1005)=1,1,0))</f>
        <v/>
      </c>
      <c r="AM1005" s="7" t="str">
        <f aca="true">IF(I1005="","",TODAY()-I1005)</f>
        <v/>
      </c>
      <c r="AN1005" s="7" t="str">
        <f aca="false">IF(A1005="","",IF(AND(E1005&lt;&gt;"33 確認済",E1005&lt;&gt;"36 送付中"),1,0))</f>
        <v/>
      </c>
      <c r="AO1005" s="7" t="str">
        <f aca="false">IF(A1005="","",IF(AG1005&lt;&gt;"",1,0))</f>
        <v/>
      </c>
    </row>
    <row r="1006" customFormat="false" ht="15" hidden="false" customHeight="false" outlineLevel="0" collapsed="false">
      <c r="AL1006" s="7" t="str">
        <f aca="false">IF(A1006="","",IF(COUNTIF(A1006:A$2001,A1006)=1,1,0))</f>
        <v/>
      </c>
      <c r="AM1006" s="7" t="str">
        <f aca="true">IF(I1006="","",TODAY()-I1006)</f>
        <v/>
      </c>
      <c r="AN1006" s="7" t="str">
        <f aca="false">IF(A1006="","",IF(AND(E1006&lt;&gt;"33 確認済",E1006&lt;&gt;"36 送付中"),1,0))</f>
        <v/>
      </c>
      <c r="AO1006" s="7" t="str">
        <f aca="false">IF(A1006="","",IF(AG1006&lt;&gt;"",1,0))</f>
        <v/>
      </c>
    </row>
    <row r="1007" customFormat="false" ht="15" hidden="false" customHeight="false" outlineLevel="0" collapsed="false">
      <c r="AL1007" s="7" t="str">
        <f aca="false">IF(A1007="","",IF(COUNTIF(A1007:A$2001,A1007)=1,1,0))</f>
        <v/>
      </c>
      <c r="AM1007" s="7" t="str">
        <f aca="true">IF(I1007="","",TODAY()-I1007)</f>
        <v/>
      </c>
      <c r="AN1007" s="7" t="str">
        <f aca="false">IF(A1007="","",IF(AND(E1007&lt;&gt;"33 確認済",E1007&lt;&gt;"36 送付中"),1,0))</f>
        <v/>
      </c>
      <c r="AO1007" s="7" t="str">
        <f aca="false">IF(A1007="","",IF(AG1007&lt;&gt;"",1,0))</f>
        <v/>
      </c>
    </row>
    <row r="1008" customFormat="false" ht="15" hidden="false" customHeight="false" outlineLevel="0" collapsed="false">
      <c r="AL1008" s="7" t="str">
        <f aca="false">IF(A1008="","",IF(COUNTIF(A1008:A$2001,A1008)=1,1,0))</f>
        <v/>
      </c>
      <c r="AM1008" s="7" t="str">
        <f aca="true">IF(I1008="","",TODAY()-I1008)</f>
        <v/>
      </c>
      <c r="AN1008" s="7" t="str">
        <f aca="false">IF(A1008="","",IF(AND(E1008&lt;&gt;"33 確認済",E1008&lt;&gt;"36 送付中"),1,0))</f>
        <v/>
      </c>
      <c r="AO1008" s="7" t="str">
        <f aca="false">IF(A1008="","",IF(AG1008&lt;&gt;"",1,0))</f>
        <v/>
      </c>
    </row>
    <row r="1009" customFormat="false" ht="15" hidden="false" customHeight="false" outlineLevel="0" collapsed="false">
      <c r="AL1009" s="7" t="str">
        <f aca="false">IF(A1009="","",IF(COUNTIF(A1009:A$2001,A1009)=1,1,0))</f>
        <v/>
      </c>
      <c r="AM1009" s="7" t="str">
        <f aca="true">IF(I1009="","",TODAY()-I1009)</f>
        <v/>
      </c>
      <c r="AN1009" s="7" t="str">
        <f aca="false">IF(A1009="","",IF(AND(E1009&lt;&gt;"33 確認済",E1009&lt;&gt;"36 送付中"),1,0))</f>
        <v/>
      </c>
      <c r="AO1009" s="7" t="str">
        <f aca="false">IF(A1009="","",IF(AG1009&lt;&gt;"",1,0))</f>
        <v/>
      </c>
    </row>
    <row r="1010" customFormat="false" ht="15" hidden="false" customHeight="false" outlineLevel="0" collapsed="false">
      <c r="AL1010" s="7" t="str">
        <f aca="false">IF(A1010="","",IF(COUNTIF(A1010:A$2001,A1010)=1,1,0))</f>
        <v/>
      </c>
      <c r="AM1010" s="7" t="str">
        <f aca="true">IF(I1010="","",TODAY()-I1010)</f>
        <v/>
      </c>
      <c r="AN1010" s="7" t="str">
        <f aca="false">IF(A1010="","",IF(AND(E1010&lt;&gt;"33 確認済",E1010&lt;&gt;"36 送付中"),1,0))</f>
        <v/>
      </c>
      <c r="AO1010" s="7" t="str">
        <f aca="false">IF(A1010="","",IF(AG1010&lt;&gt;"",1,0))</f>
        <v/>
      </c>
    </row>
    <row r="1011" customFormat="false" ht="15" hidden="false" customHeight="false" outlineLevel="0" collapsed="false">
      <c r="AL1011" s="7" t="str">
        <f aca="false">IF(A1011="","",IF(COUNTIF(A1011:A$2001,A1011)=1,1,0))</f>
        <v/>
      </c>
      <c r="AM1011" s="7" t="str">
        <f aca="true">IF(I1011="","",TODAY()-I1011)</f>
        <v/>
      </c>
      <c r="AN1011" s="7" t="str">
        <f aca="false">IF(A1011="","",IF(AND(E1011&lt;&gt;"33 確認済",E1011&lt;&gt;"36 送付中"),1,0))</f>
        <v/>
      </c>
      <c r="AO1011" s="7" t="str">
        <f aca="false">IF(A1011="","",IF(AG1011&lt;&gt;"",1,0))</f>
        <v/>
      </c>
    </row>
    <row r="1012" customFormat="false" ht="15" hidden="false" customHeight="false" outlineLevel="0" collapsed="false">
      <c r="AL1012" s="7" t="str">
        <f aca="false">IF(A1012="","",IF(COUNTIF(A1012:A$2001,A1012)=1,1,0))</f>
        <v/>
      </c>
      <c r="AM1012" s="7" t="str">
        <f aca="true">IF(I1012="","",TODAY()-I1012)</f>
        <v/>
      </c>
      <c r="AN1012" s="7" t="str">
        <f aca="false">IF(A1012="","",IF(AND(E1012&lt;&gt;"33 確認済",E1012&lt;&gt;"36 送付中"),1,0))</f>
        <v/>
      </c>
      <c r="AO1012" s="7" t="str">
        <f aca="false">IF(A1012="","",IF(AG1012&lt;&gt;"",1,0))</f>
        <v/>
      </c>
    </row>
    <row r="1013" customFormat="false" ht="15" hidden="false" customHeight="false" outlineLevel="0" collapsed="false">
      <c r="AL1013" s="7" t="str">
        <f aca="false">IF(A1013="","",IF(COUNTIF(A1013:A$2001,A1013)=1,1,0))</f>
        <v/>
      </c>
      <c r="AM1013" s="7" t="str">
        <f aca="true">IF(I1013="","",TODAY()-I1013)</f>
        <v/>
      </c>
      <c r="AN1013" s="7" t="str">
        <f aca="false">IF(A1013="","",IF(AND(E1013&lt;&gt;"33 確認済",E1013&lt;&gt;"36 送付中"),1,0))</f>
        <v/>
      </c>
      <c r="AO1013" s="7" t="str">
        <f aca="false">IF(A1013="","",IF(AG1013&lt;&gt;"",1,0))</f>
        <v/>
      </c>
    </row>
    <row r="1014" customFormat="false" ht="15" hidden="false" customHeight="false" outlineLevel="0" collapsed="false">
      <c r="AL1014" s="7" t="str">
        <f aca="false">IF(A1014="","",IF(COUNTIF(A1014:A$2001,A1014)=1,1,0))</f>
        <v/>
      </c>
      <c r="AM1014" s="7" t="str">
        <f aca="true">IF(I1014="","",TODAY()-I1014)</f>
        <v/>
      </c>
      <c r="AN1014" s="7" t="str">
        <f aca="false">IF(A1014="","",IF(AND(E1014&lt;&gt;"33 確認済",E1014&lt;&gt;"36 送付中"),1,0))</f>
        <v/>
      </c>
      <c r="AO1014" s="7" t="str">
        <f aca="false">IF(A1014="","",IF(AG1014&lt;&gt;"",1,0))</f>
        <v/>
      </c>
    </row>
    <row r="1015" customFormat="false" ht="15" hidden="false" customHeight="false" outlineLevel="0" collapsed="false">
      <c r="AL1015" s="7" t="str">
        <f aca="false">IF(A1015="","",IF(COUNTIF(A1015:A$2001,A1015)=1,1,0))</f>
        <v/>
      </c>
      <c r="AM1015" s="7" t="str">
        <f aca="true">IF(I1015="","",TODAY()-I1015)</f>
        <v/>
      </c>
      <c r="AN1015" s="7" t="str">
        <f aca="false">IF(A1015="","",IF(AND(E1015&lt;&gt;"33 確認済",E1015&lt;&gt;"36 送付中"),1,0))</f>
        <v/>
      </c>
      <c r="AO1015" s="7" t="str">
        <f aca="false">IF(A1015="","",IF(AG1015&lt;&gt;"",1,0))</f>
        <v/>
      </c>
    </row>
    <row r="1016" customFormat="false" ht="15" hidden="false" customHeight="false" outlineLevel="0" collapsed="false">
      <c r="AL1016" s="7" t="str">
        <f aca="false">IF(A1016="","",IF(COUNTIF(A1016:A$2001,A1016)=1,1,0))</f>
        <v/>
      </c>
      <c r="AM1016" s="7" t="str">
        <f aca="true">IF(I1016="","",TODAY()-I1016)</f>
        <v/>
      </c>
      <c r="AN1016" s="7" t="str">
        <f aca="false">IF(A1016="","",IF(AND(E1016&lt;&gt;"33 確認済",E1016&lt;&gt;"36 送付中"),1,0))</f>
        <v/>
      </c>
      <c r="AO1016" s="7" t="str">
        <f aca="false">IF(A1016="","",IF(AG1016&lt;&gt;"",1,0))</f>
        <v/>
      </c>
    </row>
    <row r="1017" customFormat="false" ht="15" hidden="false" customHeight="false" outlineLevel="0" collapsed="false">
      <c r="AL1017" s="7" t="str">
        <f aca="false">IF(A1017="","",IF(COUNTIF(A1017:A$2001,A1017)=1,1,0))</f>
        <v/>
      </c>
      <c r="AM1017" s="7" t="str">
        <f aca="true">IF(I1017="","",TODAY()-I1017)</f>
        <v/>
      </c>
      <c r="AN1017" s="7" t="str">
        <f aca="false">IF(A1017="","",IF(AND(E1017&lt;&gt;"33 確認済",E1017&lt;&gt;"36 送付中"),1,0))</f>
        <v/>
      </c>
      <c r="AO1017" s="7" t="str">
        <f aca="false">IF(A1017="","",IF(AG1017&lt;&gt;"",1,0))</f>
        <v/>
      </c>
    </row>
    <row r="1018" customFormat="false" ht="15" hidden="false" customHeight="false" outlineLevel="0" collapsed="false">
      <c r="AL1018" s="7" t="str">
        <f aca="false">IF(A1018="","",IF(COUNTIF(A1018:A$2001,A1018)=1,1,0))</f>
        <v/>
      </c>
      <c r="AM1018" s="7" t="str">
        <f aca="true">IF(I1018="","",TODAY()-I1018)</f>
        <v/>
      </c>
      <c r="AN1018" s="7" t="str">
        <f aca="false">IF(A1018="","",IF(AND(E1018&lt;&gt;"33 確認済",E1018&lt;&gt;"36 送付中"),1,0))</f>
        <v/>
      </c>
      <c r="AO1018" s="7" t="str">
        <f aca="false">IF(A1018="","",IF(AG1018&lt;&gt;"",1,0))</f>
        <v/>
      </c>
    </row>
    <row r="1019" customFormat="false" ht="15" hidden="false" customHeight="false" outlineLevel="0" collapsed="false">
      <c r="AL1019" s="7" t="str">
        <f aca="false">IF(A1019="","",IF(COUNTIF(A1019:A$2001,A1019)=1,1,0))</f>
        <v/>
      </c>
      <c r="AM1019" s="7" t="str">
        <f aca="true">IF(I1019="","",TODAY()-I1019)</f>
        <v/>
      </c>
      <c r="AN1019" s="7" t="str">
        <f aca="false">IF(A1019="","",IF(AND(E1019&lt;&gt;"33 確認済",E1019&lt;&gt;"36 送付中"),1,0))</f>
        <v/>
      </c>
      <c r="AO1019" s="7" t="str">
        <f aca="false">IF(A1019="","",IF(AG1019&lt;&gt;"",1,0))</f>
        <v/>
      </c>
    </row>
    <row r="1020" customFormat="false" ht="15" hidden="false" customHeight="false" outlineLevel="0" collapsed="false">
      <c r="AL1020" s="7" t="str">
        <f aca="false">IF(A1020="","",IF(COUNTIF(A1020:A$2001,A1020)=1,1,0))</f>
        <v/>
      </c>
      <c r="AM1020" s="7" t="str">
        <f aca="true">IF(I1020="","",TODAY()-I1020)</f>
        <v/>
      </c>
      <c r="AN1020" s="7" t="str">
        <f aca="false">IF(A1020="","",IF(AND(E1020&lt;&gt;"33 確認済",E1020&lt;&gt;"36 送付中"),1,0))</f>
        <v/>
      </c>
      <c r="AO1020" s="7" t="str">
        <f aca="false">IF(A1020="","",IF(AG1020&lt;&gt;"",1,0))</f>
        <v/>
      </c>
    </row>
    <row r="1021" customFormat="false" ht="15" hidden="false" customHeight="false" outlineLevel="0" collapsed="false">
      <c r="AL1021" s="7" t="str">
        <f aca="false">IF(A1021="","",IF(COUNTIF(A1021:A$2001,A1021)=1,1,0))</f>
        <v/>
      </c>
      <c r="AM1021" s="7" t="str">
        <f aca="true">IF(I1021="","",TODAY()-I1021)</f>
        <v/>
      </c>
      <c r="AN1021" s="7" t="str">
        <f aca="false">IF(A1021="","",IF(AND(E1021&lt;&gt;"33 確認済",E1021&lt;&gt;"36 送付中"),1,0))</f>
        <v/>
      </c>
      <c r="AO1021" s="7" t="str">
        <f aca="false">IF(A1021="","",IF(AG1021&lt;&gt;"",1,0))</f>
        <v/>
      </c>
    </row>
    <row r="1022" customFormat="false" ht="15" hidden="false" customHeight="false" outlineLevel="0" collapsed="false">
      <c r="AL1022" s="7" t="str">
        <f aca="false">IF(A1022="","",IF(COUNTIF(A1022:A$2001,A1022)=1,1,0))</f>
        <v/>
      </c>
      <c r="AM1022" s="7" t="str">
        <f aca="true">IF(I1022="","",TODAY()-I1022)</f>
        <v/>
      </c>
      <c r="AN1022" s="7" t="str">
        <f aca="false">IF(A1022="","",IF(AND(E1022&lt;&gt;"33 確認済",E1022&lt;&gt;"36 送付中"),1,0))</f>
        <v/>
      </c>
      <c r="AO1022" s="7" t="str">
        <f aca="false">IF(A1022="","",IF(AG1022&lt;&gt;"",1,0))</f>
        <v/>
      </c>
    </row>
    <row r="1023" customFormat="false" ht="15" hidden="false" customHeight="false" outlineLevel="0" collapsed="false">
      <c r="AL1023" s="7" t="str">
        <f aca="false">IF(A1023="","",IF(COUNTIF(A1023:A$2001,A1023)=1,1,0))</f>
        <v/>
      </c>
      <c r="AM1023" s="7" t="str">
        <f aca="true">IF(I1023="","",TODAY()-I1023)</f>
        <v/>
      </c>
      <c r="AN1023" s="7" t="str">
        <f aca="false">IF(A1023="","",IF(AND(E1023&lt;&gt;"33 確認済",E1023&lt;&gt;"36 送付中"),1,0))</f>
        <v/>
      </c>
      <c r="AO1023" s="7" t="str">
        <f aca="false">IF(A1023="","",IF(AG1023&lt;&gt;"",1,0))</f>
        <v/>
      </c>
    </row>
    <row r="1024" customFormat="false" ht="15" hidden="false" customHeight="false" outlineLevel="0" collapsed="false">
      <c r="AL1024" s="7" t="str">
        <f aca="false">IF(A1024="","",IF(COUNTIF(A1024:A$2001,A1024)=1,1,0))</f>
        <v/>
      </c>
      <c r="AM1024" s="7" t="str">
        <f aca="true">IF(I1024="","",TODAY()-I1024)</f>
        <v/>
      </c>
      <c r="AN1024" s="7" t="str">
        <f aca="false">IF(A1024="","",IF(AND(E1024&lt;&gt;"33 確認済",E1024&lt;&gt;"36 送付中"),1,0))</f>
        <v/>
      </c>
      <c r="AO1024" s="7" t="str">
        <f aca="false">IF(A1024="","",IF(AG1024&lt;&gt;"",1,0))</f>
        <v/>
      </c>
    </row>
    <row r="1025" customFormat="false" ht="15" hidden="false" customHeight="false" outlineLevel="0" collapsed="false">
      <c r="AL1025" s="7" t="str">
        <f aca="false">IF(A1025="","",IF(COUNTIF(A1025:A$2001,A1025)=1,1,0))</f>
        <v/>
      </c>
      <c r="AM1025" s="7" t="str">
        <f aca="true">IF(I1025="","",TODAY()-I1025)</f>
        <v/>
      </c>
      <c r="AN1025" s="7" t="str">
        <f aca="false">IF(A1025="","",IF(AND(E1025&lt;&gt;"33 確認済",E1025&lt;&gt;"36 送付中"),1,0))</f>
        <v/>
      </c>
      <c r="AO1025" s="7" t="str">
        <f aca="false">IF(A1025="","",IF(AG1025&lt;&gt;"",1,0))</f>
        <v/>
      </c>
    </row>
    <row r="1026" customFormat="false" ht="15" hidden="false" customHeight="false" outlineLevel="0" collapsed="false">
      <c r="AL1026" s="7" t="str">
        <f aca="false">IF(A1026="","",IF(COUNTIF(A1026:A$2001,A1026)=1,1,0))</f>
        <v/>
      </c>
      <c r="AM1026" s="7" t="str">
        <f aca="true">IF(I1026="","",TODAY()-I1026)</f>
        <v/>
      </c>
      <c r="AN1026" s="7" t="str">
        <f aca="false">IF(A1026="","",IF(AND(E1026&lt;&gt;"33 確認済",E1026&lt;&gt;"36 送付中"),1,0))</f>
        <v/>
      </c>
      <c r="AO1026" s="7" t="str">
        <f aca="false">IF(A1026="","",IF(AG1026&lt;&gt;"",1,0))</f>
        <v/>
      </c>
    </row>
    <row r="1027" customFormat="false" ht="15" hidden="false" customHeight="false" outlineLevel="0" collapsed="false">
      <c r="AL1027" s="7" t="str">
        <f aca="false">IF(A1027="","",IF(COUNTIF(A1027:A$2001,A1027)=1,1,0))</f>
        <v/>
      </c>
      <c r="AM1027" s="7" t="str">
        <f aca="true">IF(I1027="","",TODAY()-I1027)</f>
        <v/>
      </c>
      <c r="AN1027" s="7" t="str">
        <f aca="false">IF(A1027="","",IF(AND(E1027&lt;&gt;"33 確認済",E1027&lt;&gt;"36 送付中"),1,0))</f>
        <v/>
      </c>
      <c r="AO1027" s="7" t="str">
        <f aca="false">IF(A1027="","",IF(AG1027&lt;&gt;"",1,0))</f>
        <v/>
      </c>
    </row>
    <row r="1028" customFormat="false" ht="15" hidden="false" customHeight="false" outlineLevel="0" collapsed="false">
      <c r="AL1028" s="7" t="str">
        <f aca="false">IF(A1028="","",IF(COUNTIF(A1028:A$2001,A1028)=1,1,0))</f>
        <v/>
      </c>
      <c r="AM1028" s="7" t="str">
        <f aca="true">IF(I1028="","",TODAY()-I1028)</f>
        <v/>
      </c>
      <c r="AN1028" s="7" t="str">
        <f aca="false">IF(A1028="","",IF(AND(E1028&lt;&gt;"33 確認済",E1028&lt;&gt;"36 送付中"),1,0))</f>
        <v/>
      </c>
      <c r="AO1028" s="7" t="str">
        <f aca="false">IF(A1028="","",IF(AG1028&lt;&gt;"",1,0))</f>
        <v/>
      </c>
    </row>
    <row r="1029" customFormat="false" ht="15" hidden="false" customHeight="false" outlineLevel="0" collapsed="false">
      <c r="AL1029" s="7" t="str">
        <f aca="false">IF(A1029="","",IF(COUNTIF(A1029:A$2001,A1029)=1,1,0))</f>
        <v/>
      </c>
      <c r="AM1029" s="7" t="str">
        <f aca="true">IF(I1029="","",TODAY()-I1029)</f>
        <v/>
      </c>
      <c r="AN1029" s="7" t="str">
        <f aca="false">IF(A1029="","",IF(AND(E1029&lt;&gt;"33 確認済",E1029&lt;&gt;"36 送付中"),1,0))</f>
        <v/>
      </c>
      <c r="AO1029" s="7" t="str">
        <f aca="false">IF(A1029="","",IF(AG1029&lt;&gt;"",1,0))</f>
        <v/>
      </c>
    </row>
    <row r="1030" customFormat="false" ht="15" hidden="false" customHeight="false" outlineLevel="0" collapsed="false">
      <c r="AL1030" s="7" t="str">
        <f aca="false">IF(A1030="","",IF(COUNTIF(A1030:A$2001,A1030)=1,1,0))</f>
        <v/>
      </c>
      <c r="AM1030" s="7" t="str">
        <f aca="true">IF(I1030="","",TODAY()-I1030)</f>
        <v/>
      </c>
      <c r="AN1030" s="7" t="str">
        <f aca="false">IF(A1030="","",IF(AND(E1030&lt;&gt;"33 確認済",E1030&lt;&gt;"36 送付中"),1,0))</f>
        <v/>
      </c>
      <c r="AO1030" s="7" t="str">
        <f aca="false">IF(A1030="","",IF(AG1030&lt;&gt;"",1,0))</f>
        <v/>
      </c>
    </row>
    <row r="1031" customFormat="false" ht="15" hidden="false" customHeight="false" outlineLevel="0" collapsed="false">
      <c r="AL1031" s="7" t="str">
        <f aca="false">IF(A1031="","",IF(COUNTIF(A1031:A$2001,A1031)=1,1,0))</f>
        <v/>
      </c>
      <c r="AM1031" s="7" t="str">
        <f aca="true">IF(I1031="","",TODAY()-I1031)</f>
        <v/>
      </c>
      <c r="AN1031" s="7" t="str">
        <f aca="false">IF(A1031="","",IF(AND(E1031&lt;&gt;"33 確認済",E1031&lt;&gt;"36 送付中"),1,0))</f>
        <v/>
      </c>
      <c r="AO1031" s="7" t="str">
        <f aca="false">IF(A1031="","",IF(AG1031&lt;&gt;"",1,0))</f>
        <v/>
      </c>
    </row>
    <row r="1032" customFormat="false" ht="15" hidden="false" customHeight="false" outlineLevel="0" collapsed="false">
      <c r="AL1032" s="7" t="str">
        <f aca="false">IF(A1032="","",IF(COUNTIF(A1032:A$2001,A1032)=1,1,0))</f>
        <v/>
      </c>
      <c r="AM1032" s="7" t="str">
        <f aca="true">IF(I1032="","",TODAY()-I1032)</f>
        <v/>
      </c>
      <c r="AN1032" s="7" t="str">
        <f aca="false">IF(A1032="","",IF(AND(E1032&lt;&gt;"33 確認済",E1032&lt;&gt;"36 送付中"),1,0))</f>
        <v/>
      </c>
      <c r="AO1032" s="7" t="str">
        <f aca="false">IF(A1032="","",IF(AG1032&lt;&gt;"",1,0))</f>
        <v/>
      </c>
    </row>
    <row r="1033" customFormat="false" ht="15" hidden="false" customHeight="false" outlineLevel="0" collapsed="false">
      <c r="AL1033" s="7" t="str">
        <f aca="false">IF(A1033="","",IF(COUNTIF(A1033:A$2001,A1033)=1,1,0))</f>
        <v/>
      </c>
      <c r="AM1033" s="7" t="str">
        <f aca="true">IF(I1033="","",TODAY()-I1033)</f>
        <v/>
      </c>
      <c r="AN1033" s="7" t="str">
        <f aca="false">IF(A1033="","",IF(AND(E1033&lt;&gt;"33 確認済",E1033&lt;&gt;"36 送付中"),1,0))</f>
        <v/>
      </c>
      <c r="AO1033" s="7" t="str">
        <f aca="false">IF(A1033="","",IF(AG1033&lt;&gt;"",1,0))</f>
        <v/>
      </c>
    </row>
    <row r="1034" customFormat="false" ht="15" hidden="false" customHeight="false" outlineLevel="0" collapsed="false">
      <c r="AL1034" s="7" t="str">
        <f aca="false">IF(A1034="","",IF(COUNTIF(A1034:A$2001,A1034)=1,1,0))</f>
        <v/>
      </c>
      <c r="AM1034" s="7" t="str">
        <f aca="true">IF(I1034="","",TODAY()-I1034)</f>
        <v/>
      </c>
      <c r="AN1034" s="7" t="str">
        <f aca="false">IF(A1034="","",IF(AND(E1034&lt;&gt;"33 確認済",E1034&lt;&gt;"36 送付中"),1,0))</f>
        <v/>
      </c>
      <c r="AO1034" s="7" t="str">
        <f aca="false">IF(A1034="","",IF(AG1034&lt;&gt;"",1,0))</f>
        <v/>
      </c>
    </row>
    <row r="1035" customFormat="false" ht="15" hidden="false" customHeight="false" outlineLevel="0" collapsed="false">
      <c r="AL1035" s="7" t="str">
        <f aca="false">IF(A1035="","",IF(COUNTIF(A1035:A$2001,A1035)=1,1,0))</f>
        <v/>
      </c>
      <c r="AM1035" s="7" t="str">
        <f aca="true">IF(I1035="","",TODAY()-I1035)</f>
        <v/>
      </c>
      <c r="AN1035" s="7" t="str">
        <f aca="false">IF(A1035="","",IF(AND(E1035&lt;&gt;"33 確認済",E1035&lt;&gt;"36 送付中"),1,0))</f>
        <v/>
      </c>
      <c r="AO1035" s="7" t="str">
        <f aca="false">IF(A1035="","",IF(AG1035&lt;&gt;"",1,0))</f>
        <v/>
      </c>
    </row>
    <row r="1036" customFormat="false" ht="15" hidden="false" customHeight="false" outlineLevel="0" collapsed="false">
      <c r="AL1036" s="7" t="str">
        <f aca="false">IF(A1036="","",IF(COUNTIF(A1036:A$2001,A1036)=1,1,0))</f>
        <v/>
      </c>
      <c r="AM1036" s="7" t="str">
        <f aca="true">IF(I1036="","",TODAY()-I1036)</f>
        <v/>
      </c>
      <c r="AN1036" s="7" t="str">
        <f aca="false">IF(A1036="","",IF(AND(E1036&lt;&gt;"33 確認済",E1036&lt;&gt;"36 送付中"),1,0))</f>
        <v/>
      </c>
      <c r="AO1036" s="7" t="str">
        <f aca="false">IF(A1036="","",IF(AG1036&lt;&gt;"",1,0))</f>
        <v/>
      </c>
    </row>
    <row r="1037" customFormat="false" ht="15" hidden="false" customHeight="false" outlineLevel="0" collapsed="false">
      <c r="AL1037" s="7" t="str">
        <f aca="false">IF(A1037="","",IF(COUNTIF(A1037:A$2001,A1037)=1,1,0))</f>
        <v/>
      </c>
      <c r="AM1037" s="7" t="str">
        <f aca="true">IF(I1037="","",TODAY()-I1037)</f>
        <v/>
      </c>
      <c r="AN1037" s="7" t="str">
        <f aca="false">IF(A1037="","",IF(AND(E1037&lt;&gt;"33 確認済",E1037&lt;&gt;"36 送付中"),1,0))</f>
        <v/>
      </c>
      <c r="AO1037" s="7" t="str">
        <f aca="false">IF(A1037="","",IF(AG1037&lt;&gt;"",1,0))</f>
        <v/>
      </c>
    </row>
    <row r="1038" customFormat="false" ht="15" hidden="false" customHeight="false" outlineLevel="0" collapsed="false">
      <c r="AL1038" s="7" t="str">
        <f aca="false">IF(A1038="","",IF(COUNTIF(A1038:A$2001,A1038)=1,1,0))</f>
        <v/>
      </c>
      <c r="AM1038" s="7" t="str">
        <f aca="true">IF(I1038="","",TODAY()-I1038)</f>
        <v/>
      </c>
      <c r="AN1038" s="7" t="str">
        <f aca="false">IF(A1038="","",IF(AND(E1038&lt;&gt;"33 確認済",E1038&lt;&gt;"36 送付中"),1,0))</f>
        <v/>
      </c>
      <c r="AO1038" s="7" t="str">
        <f aca="false">IF(A1038="","",IF(AG1038&lt;&gt;"",1,0))</f>
        <v/>
      </c>
    </row>
    <row r="1039" customFormat="false" ht="15" hidden="false" customHeight="false" outlineLevel="0" collapsed="false">
      <c r="AL1039" s="7" t="str">
        <f aca="false">IF(A1039="","",IF(COUNTIF(A1039:A$2001,A1039)=1,1,0))</f>
        <v/>
      </c>
      <c r="AM1039" s="7" t="str">
        <f aca="true">IF(I1039="","",TODAY()-I1039)</f>
        <v/>
      </c>
      <c r="AN1039" s="7" t="str">
        <f aca="false">IF(A1039="","",IF(AND(E1039&lt;&gt;"33 確認済",E1039&lt;&gt;"36 送付中"),1,0))</f>
        <v/>
      </c>
      <c r="AO1039" s="7" t="str">
        <f aca="false">IF(A1039="","",IF(AG1039&lt;&gt;"",1,0))</f>
        <v/>
      </c>
    </row>
    <row r="1040" customFormat="false" ht="15" hidden="false" customHeight="false" outlineLevel="0" collapsed="false">
      <c r="AL1040" s="7" t="str">
        <f aca="false">IF(A1040="","",IF(COUNTIF(A1040:A$2001,A1040)=1,1,0))</f>
        <v/>
      </c>
      <c r="AM1040" s="7" t="str">
        <f aca="true">IF(I1040="","",TODAY()-I1040)</f>
        <v/>
      </c>
      <c r="AN1040" s="7" t="str">
        <f aca="false">IF(A1040="","",IF(AND(E1040&lt;&gt;"33 確認済",E1040&lt;&gt;"36 送付中"),1,0))</f>
        <v/>
      </c>
      <c r="AO1040" s="7" t="str">
        <f aca="false">IF(A1040="","",IF(AG1040&lt;&gt;"",1,0))</f>
        <v/>
      </c>
    </row>
    <row r="1041" customFormat="false" ht="15" hidden="false" customHeight="false" outlineLevel="0" collapsed="false">
      <c r="AL1041" s="7" t="str">
        <f aca="false">IF(A1041="","",IF(COUNTIF(A1041:A$2001,A1041)=1,1,0))</f>
        <v/>
      </c>
      <c r="AM1041" s="7" t="str">
        <f aca="true">IF(I1041="","",TODAY()-I1041)</f>
        <v/>
      </c>
      <c r="AN1041" s="7" t="str">
        <f aca="false">IF(A1041="","",IF(AND(E1041&lt;&gt;"33 確認済",E1041&lt;&gt;"36 送付中"),1,0))</f>
        <v/>
      </c>
      <c r="AO1041" s="7" t="str">
        <f aca="false">IF(A1041="","",IF(AG1041&lt;&gt;"",1,0))</f>
        <v/>
      </c>
    </row>
    <row r="1042" customFormat="false" ht="15" hidden="false" customHeight="false" outlineLevel="0" collapsed="false">
      <c r="AL1042" s="7" t="str">
        <f aca="false">IF(A1042="","",IF(COUNTIF(A1042:A$2001,A1042)=1,1,0))</f>
        <v/>
      </c>
      <c r="AM1042" s="7" t="str">
        <f aca="true">IF(I1042="","",TODAY()-I1042)</f>
        <v/>
      </c>
      <c r="AN1042" s="7" t="str">
        <f aca="false">IF(A1042="","",IF(AND(E1042&lt;&gt;"33 確認済",E1042&lt;&gt;"36 送付中"),1,0))</f>
        <v/>
      </c>
      <c r="AO1042" s="7" t="str">
        <f aca="false">IF(A1042="","",IF(AG1042&lt;&gt;"",1,0))</f>
        <v/>
      </c>
    </row>
    <row r="1043" customFormat="false" ht="15" hidden="false" customHeight="false" outlineLevel="0" collapsed="false">
      <c r="AL1043" s="7" t="str">
        <f aca="false">IF(A1043="","",IF(COUNTIF(A1043:A$2001,A1043)=1,1,0))</f>
        <v/>
      </c>
      <c r="AM1043" s="7" t="str">
        <f aca="true">IF(I1043="","",TODAY()-I1043)</f>
        <v/>
      </c>
      <c r="AN1043" s="7" t="str">
        <f aca="false">IF(A1043="","",IF(AND(E1043&lt;&gt;"33 確認済",E1043&lt;&gt;"36 送付中"),1,0))</f>
        <v/>
      </c>
      <c r="AO1043" s="7" t="str">
        <f aca="false">IF(A1043="","",IF(AG1043&lt;&gt;"",1,0))</f>
        <v/>
      </c>
    </row>
    <row r="1044" customFormat="false" ht="15" hidden="false" customHeight="false" outlineLevel="0" collapsed="false">
      <c r="AL1044" s="7" t="str">
        <f aca="false">IF(A1044="","",IF(COUNTIF(A1044:A$2001,A1044)=1,1,0))</f>
        <v/>
      </c>
      <c r="AM1044" s="7" t="str">
        <f aca="true">IF(I1044="","",TODAY()-I1044)</f>
        <v/>
      </c>
      <c r="AN1044" s="7" t="str">
        <f aca="false">IF(A1044="","",IF(AND(E1044&lt;&gt;"33 確認済",E1044&lt;&gt;"36 送付中"),1,0))</f>
        <v/>
      </c>
      <c r="AO1044" s="7" t="str">
        <f aca="false">IF(A1044="","",IF(AG1044&lt;&gt;"",1,0))</f>
        <v/>
      </c>
    </row>
    <row r="1045" customFormat="false" ht="15" hidden="false" customHeight="false" outlineLevel="0" collapsed="false">
      <c r="AL1045" s="7" t="str">
        <f aca="false">IF(A1045="","",IF(COUNTIF(A1045:A$2001,A1045)=1,1,0))</f>
        <v/>
      </c>
      <c r="AM1045" s="7" t="str">
        <f aca="true">IF(I1045="","",TODAY()-I1045)</f>
        <v/>
      </c>
      <c r="AN1045" s="7" t="str">
        <f aca="false">IF(A1045="","",IF(AND(E1045&lt;&gt;"33 確認済",E1045&lt;&gt;"36 送付中"),1,0))</f>
        <v/>
      </c>
      <c r="AO1045" s="7" t="str">
        <f aca="false">IF(A1045="","",IF(AG1045&lt;&gt;"",1,0))</f>
        <v/>
      </c>
    </row>
    <row r="1046" customFormat="false" ht="15" hidden="false" customHeight="false" outlineLevel="0" collapsed="false">
      <c r="AL1046" s="7" t="str">
        <f aca="false">IF(A1046="","",IF(COUNTIF(A1046:A$2001,A1046)=1,1,0))</f>
        <v/>
      </c>
      <c r="AM1046" s="7" t="str">
        <f aca="true">IF(I1046="","",TODAY()-I1046)</f>
        <v/>
      </c>
      <c r="AN1046" s="7" t="str">
        <f aca="false">IF(A1046="","",IF(AND(E1046&lt;&gt;"33 確認済",E1046&lt;&gt;"36 送付中"),1,0))</f>
        <v/>
      </c>
      <c r="AO1046" s="7" t="str">
        <f aca="false">IF(A1046="","",IF(AG1046&lt;&gt;"",1,0))</f>
        <v/>
      </c>
    </row>
    <row r="1047" customFormat="false" ht="15" hidden="false" customHeight="false" outlineLevel="0" collapsed="false">
      <c r="AL1047" s="7" t="str">
        <f aca="false">IF(A1047="","",IF(COUNTIF(A1047:A$2001,A1047)=1,1,0))</f>
        <v/>
      </c>
      <c r="AM1047" s="7" t="str">
        <f aca="true">IF(I1047="","",TODAY()-I1047)</f>
        <v/>
      </c>
      <c r="AN1047" s="7" t="str">
        <f aca="false">IF(A1047="","",IF(AND(E1047&lt;&gt;"33 確認済",E1047&lt;&gt;"36 送付中"),1,0))</f>
        <v/>
      </c>
      <c r="AO1047" s="7" t="str">
        <f aca="false">IF(A1047="","",IF(AG1047&lt;&gt;"",1,0))</f>
        <v/>
      </c>
    </row>
    <row r="1048" customFormat="false" ht="15" hidden="false" customHeight="false" outlineLevel="0" collapsed="false">
      <c r="AL1048" s="7" t="str">
        <f aca="false">IF(A1048="","",IF(COUNTIF(A1048:A$2001,A1048)=1,1,0))</f>
        <v/>
      </c>
      <c r="AM1048" s="7" t="str">
        <f aca="true">IF(I1048="","",TODAY()-I1048)</f>
        <v/>
      </c>
      <c r="AN1048" s="7" t="str">
        <f aca="false">IF(A1048="","",IF(AND(E1048&lt;&gt;"33 確認済",E1048&lt;&gt;"36 送付中"),1,0))</f>
        <v/>
      </c>
      <c r="AO1048" s="7" t="str">
        <f aca="false">IF(A1048="","",IF(AG1048&lt;&gt;"",1,0))</f>
        <v/>
      </c>
    </row>
    <row r="1049" customFormat="false" ht="15" hidden="false" customHeight="false" outlineLevel="0" collapsed="false">
      <c r="AL1049" s="7" t="str">
        <f aca="false">IF(A1049="","",IF(COUNTIF(A1049:A$2001,A1049)=1,1,0))</f>
        <v/>
      </c>
      <c r="AM1049" s="7" t="str">
        <f aca="true">IF(I1049="","",TODAY()-I1049)</f>
        <v/>
      </c>
      <c r="AN1049" s="7" t="str">
        <f aca="false">IF(A1049="","",IF(AND(E1049&lt;&gt;"33 確認済",E1049&lt;&gt;"36 送付中"),1,0))</f>
        <v/>
      </c>
      <c r="AO1049" s="7" t="str">
        <f aca="false">IF(A1049="","",IF(AG1049&lt;&gt;"",1,0))</f>
        <v/>
      </c>
    </row>
    <row r="1050" customFormat="false" ht="15" hidden="false" customHeight="false" outlineLevel="0" collapsed="false">
      <c r="AL1050" s="7" t="str">
        <f aca="false">IF(A1050="","",IF(COUNTIF(A1050:A$2001,A1050)=1,1,0))</f>
        <v/>
      </c>
      <c r="AM1050" s="7" t="str">
        <f aca="true">IF(I1050="","",TODAY()-I1050)</f>
        <v/>
      </c>
      <c r="AN1050" s="7" t="str">
        <f aca="false">IF(A1050="","",IF(AND(E1050&lt;&gt;"33 確認済",E1050&lt;&gt;"36 送付中"),1,0))</f>
        <v/>
      </c>
      <c r="AO1050" s="7" t="str">
        <f aca="false">IF(A1050="","",IF(AG1050&lt;&gt;"",1,0))</f>
        <v/>
      </c>
    </row>
    <row r="1051" customFormat="false" ht="15" hidden="false" customHeight="false" outlineLevel="0" collapsed="false">
      <c r="AL1051" s="7" t="str">
        <f aca="false">IF(A1051="","",IF(COUNTIF(A1051:A$2001,A1051)=1,1,0))</f>
        <v/>
      </c>
      <c r="AM1051" s="7" t="str">
        <f aca="true">IF(I1051="","",TODAY()-I1051)</f>
        <v/>
      </c>
      <c r="AN1051" s="7" t="str">
        <f aca="false">IF(A1051="","",IF(AND(E1051&lt;&gt;"33 確認済",E1051&lt;&gt;"36 送付中"),1,0))</f>
        <v/>
      </c>
      <c r="AO1051" s="7" t="str">
        <f aca="false">IF(A1051="","",IF(AG1051&lt;&gt;"",1,0))</f>
        <v/>
      </c>
    </row>
    <row r="1052" customFormat="false" ht="15" hidden="false" customHeight="false" outlineLevel="0" collapsed="false">
      <c r="AL1052" s="7" t="str">
        <f aca="false">IF(A1052="","",IF(COUNTIF(A1052:A$2001,A1052)=1,1,0))</f>
        <v/>
      </c>
      <c r="AM1052" s="7" t="str">
        <f aca="true">IF(I1052="","",TODAY()-I1052)</f>
        <v/>
      </c>
      <c r="AN1052" s="7" t="str">
        <f aca="false">IF(A1052="","",IF(AND(E1052&lt;&gt;"33 確認済",E1052&lt;&gt;"36 送付中"),1,0))</f>
        <v/>
      </c>
      <c r="AO1052" s="7" t="str">
        <f aca="false">IF(A1052="","",IF(AG1052&lt;&gt;"",1,0))</f>
        <v/>
      </c>
    </row>
    <row r="1053" customFormat="false" ht="15" hidden="false" customHeight="false" outlineLevel="0" collapsed="false">
      <c r="AL1053" s="7" t="str">
        <f aca="false">IF(A1053="","",IF(COUNTIF(A1053:A$2001,A1053)=1,1,0))</f>
        <v/>
      </c>
      <c r="AM1053" s="7" t="str">
        <f aca="true">IF(I1053="","",TODAY()-I1053)</f>
        <v/>
      </c>
      <c r="AN1053" s="7" t="str">
        <f aca="false">IF(A1053="","",IF(AND(E1053&lt;&gt;"33 確認済",E1053&lt;&gt;"36 送付中"),1,0))</f>
        <v/>
      </c>
      <c r="AO1053" s="7" t="str">
        <f aca="false">IF(A1053="","",IF(AG1053&lt;&gt;"",1,0))</f>
        <v/>
      </c>
    </row>
    <row r="1054" customFormat="false" ht="15" hidden="false" customHeight="false" outlineLevel="0" collapsed="false">
      <c r="AL1054" s="7" t="str">
        <f aca="false">IF(A1054="","",IF(COUNTIF(A1054:A$2001,A1054)=1,1,0))</f>
        <v/>
      </c>
      <c r="AM1054" s="7" t="str">
        <f aca="true">IF(I1054="","",TODAY()-I1054)</f>
        <v/>
      </c>
      <c r="AN1054" s="7" t="str">
        <f aca="false">IF(A1054="","",IF(AND(E1054&lt;&gt;"33 確認済",E1054&lt;&gt;"36 送付中"),1,0))</f>
        <v/>
      </c>
      <c r="AO1054" s="7" t="str">
        <f aca="false">IF(A1054="","",IF(AG1054&lt;&gt;"",1,0))</f>
        <v/>
      </c>
    </row>
    <row r="1055" customFormat="false" ht="15" hidden="false" customHeight="false" outlineLevel="0" collapsed="false">
      <c r="AL1055" s="7" t="str">
        <f aca="false">IF(A1055="","",IF(COUNTIF(A1055:A$2001,A1055)=1,1,0))</f>
        <v/>
      </c>
      <c r="AM1055" s="7" t="str">
        <f aca="true">IF(I1055="","",TODAY()-I1055)</f>
        <v/>
      </c>
      <c r="AN1055" s="7" t="str">
        <f aca="false">IF(A1055="","",IF(AND(E1055&lt;&gt;"33 確認済",E1055&lt;&gt;"36 送付中"),1,0))</f>
        <v/>
      </c>
      <c r="AO1055" s="7" t="str">
        <f aca="false">IF(A1055="","",IF(AG1055&lt;&gt;"",1,0))</f>
        <v/>
      </c>
    </row>
    <row r="1056" customFormat="false" ht="15" hidden="false" customHeight="false" outlineLevel="0" collapsed="false">
      <c r="AL1056" s="7" t="str">
        <f aca="false">IF(A1056="","",IF(COUNTIF(A1056:A$2001,A1056)=1,1,0))</f>
        <v/>
      </c>
      <c r="AM1056" s="7" t="str">
        <f aca="true">IF(I1056="","",TODAY()-I1056)</f>
        <v/>
      </c>
      <c r="AN1056" s="7" t="str">
        <f aca="false">IF(A1056="","",IF(AND(E1056&lt;&gt;"33 確認済",E1056&lt;&gt;"36 送付中"),1,0))</f>
        <v/>
      </c>
      <c r="AO1056" s="7" t="str">
        <f aca="false">IF(A1056="","",IF(AG1056&lt;&gt;"",1,0))</f>
        <v/>
      </c>
    </row>
    <row r="1057" customFormat="false" ht="15" hidden="false" customHeight="false" outlineLevel="0" collapsed="false">
      <c r="AL1057" s="7" t="str">
        <f aca="false">IF(A1057="","",IF(COUNTIF(A1057:A$2001,A1057)=1,1,0))</f>
        <v/>
      </c>
      <c r="AM1057" s="7" t="str">
        <f aca="true">IF(I1057="","",TODAY()-I1057)</f>
        <v/>
      </c>
      <c r="AN1057" s="7" t="str">
        <f aca="false">IF(A1057="","",IF(AND(E1057&lt;&gt;"33 確認済",E1057&lt;&gt;"36 送付中"),1,0))</f>
        <v/>
      </c>
      <c r="AO1057" s="7" t="str">
        <f aca="false">IF(A1057="","",IF(AG1057&lt;&gt;"",1,0))</f>
        <v/>
      </c>
    </row>
    <row r="1058" customFormat="false" ht="15" hidden="false" customHeight="false" outlineLevel="0" collapsed="false">
      <c r="AL1058" s="7" t="str">
        <f aca="false">IF(A1058="","",IF(COUNTIF(A1058:A$2001,A1058)=1,1,0))</f>
        <v/>
      </c>
      <c r="AM1058" s="7" t="str">
        <f aca="true">IF(I1058="","",TODAY()-I1058)</f>
        <v/>
      </c>
      <c r="AN1058" s="7" t="str">
        <f aca="false">IF(A1058="","",IF(AND(E1058&lt;&gt;"33 確認済",E1058&lt;&gt;"36 送付中"),1,0))</f>
        <v/>
      </c>
      <c r="AO1058" s="7" t="str">
        <f aca="false">IF(A1058="","",IF(AG1058&lt;&gt;"",1,0))</f>
        <v/>
      </c>
    </row>
    <row r="1059" customFormat="false" ht="15" hidden="false" customHeight="false" outlineLevel="0" collapsed="false">
      <c r="AL1059" s="7" t="str">
        <f aca="false">IF(A1059="","",IF(COUNTIF(A1059:A$2001,A1059)=1,1,0))</f>
        <v/>
      </c>
      <c r="AM1059" s="7" t="str">
        <f aca="true">IF(I1059="","",TODAY()-I1059)</f>
        <v/>
      </c>
      <c r="AN1059" s="7" t="str">
        <f aca="false">IF(A1059="","",IF(AND(E1059&lt;&gt;"33 確認済",E1059&lt;&gt;"36 送付中"),1,0))</f>
        <v/>
      </c>
      <c r="AO1059" s="7" t="str">
        <f aca="false">IF(A1059="","",IF(AG1059&lt;&gt;"",1,0))</f>
        <v/>
      </c>
    </row>
    <row r="1060" customFormat="false" ht="15" hidden="false" customHeight="false" outlineLevel="0" collapsed="false">
      <c r="AL1060" s="7" t="str">
        <f aca="false">IF(A1060="","",IF(COUNTIF(A1060:A$2001,A1060)=1,1,0))</f>
        <v/>
      </c>
      <c r="AM1060" s="7" t="str">
        <f aca="true">IF(I1060="","",TODAY()-I1060)</f>
        <v/>
      </c>
      <c r="AN1060" s="7" t="str">
        <f aca="false">IF(A1060="","",IF(AND(E1060&lt;&gt;"33 確認済",E1060&lt;&gt;"36 送付中"),1,0))</f>
        <v/>
      </c>
      <c r="AO1060" s="7" t="str">
        <f aca="false">IF(A1060="","",IF(AG1060&lt;&gt;"",1,0))</f>
        <v/>
      </c>
    </row>
    <row r="1061" customFormat="false" ht="15" hidden="false" customHeight="false" outlineLevel="0" collapsed="false">
      <c r="AL1061" s="7" t="str">
        <f aca="false">IF(A1061="","",IF(COUNTIF(A1061:A$2001,A1061)=1,1,0))</f>
        <v/>
      </c>
      <c r="AM1061" s="7" t="str">
        <f aca="true">IF(I1061="","",TODAY()-I1061)</f>
        <v/>
      </c>
      <c r="AN1061" s="7" t="str">
        <f aca="false">IF(A1061="","",IF(AND(E1061&lt;&gt;"33 確認済",E1061&lt;&gt;"36 送付中"),1,0))</f>
        <v/>
      </c>
      <c r="AO1061" s="7" t="str">
        <f aca="false">IF(A1061="","",IF(AG1061&lt;&gt;"",1,0))</f>
        <v/>
      </c>
    </row>
    <row r="1062" customFormat="false" ht="15" hidden="false" customHeight="false" outlineLevel="0" collapsed="false">
      <c r="AL1062" s="7" t="str">
        <f aca="false">IF(A1062="","",IF(COUNTIF(A1062:A$2001,A1062)=1,1,0))</f>
        <v/>
      </c>
      <c r="AM1062" s="7" t="str">
        <f aca="true">IF(I1062="","",TODAY()-I1062)</f>
        <v/>
      </c>
      <c r="AN1062" s="7" t="str">
        <f aca="false">IF(A1062="","",IF(AND(E1062&lt;&gt;"33 確認済",E1062&lt;&gt;"36 送付中"),1,0))</f>
        <v/>
      </c>
      <c r="AO1062" s="7" t="str">
        <f aca="false">IF(A1062="","",IF(AG1062&lt;&gt;"",1,0))</f>
        <v/>
      </c>
    </row>
    <row r="1063" customFormat="false" ht="15" hidden="false" customHeight="false" outlineLevel="0" collapsed="false">
      <c r="AL1063" s="7" t="str">
        <f aca="false">IF(A1063="","",IF(COUNTIF(A1063:A$2001,A1063)=1,1,0))</f>
        <v/>
      </c>
      <c r="AM1063" s="7" t="str">
        <f aca="true">IF(I1063="","",TODAY()-I1063)</f>
        <v/>
      </c>
      <c r="AN1063" s="7" t="str">
        <f aca="false">IF(A1063="","",IF(AND(E1063&lt;&gt;"33 確認済",E1063&lt;&gt;"36 送付中"),1,0))</f>
        <v/>
      </c>
      <c r="AO1063" s="7" t="str">
        <f aca="false">IF(A1063="","",IF(AG1063&lt;&gt;"",1,0))</f>
        <v/>
      </c>
    </row>
    <row r="1064" customFormat="false" ht="15" hidden="false" customHeight="false" outlineLevel="0" collapsed="false">
      <c r="AL1064" s="7" t="str">
        <f aca="false">IF(A1064="","",IF(COUNTIF(A1064:A$2001,A1064)=1,1,0))</f>
        <v/>
      </c>
      <c r="AM1064" s="7" t="str">
        <f aca="true">IF(I1064="","",TODAY()-I1064)</f>
        <v/>
      </c>
      <c r="AN1064" s="7" t="str">
        <f aca="false">IF(A1064="","",IF(AND(E1064&lt;&gt;"33 確認済",E1064&lt;&gt;"36 送付中"),1,0))</f>
        <v/>
      </c>
      <c r="AO1064" s="7" t="str">
        <f aca="false">IF(A1064="","",IF(AG1064&lt;&gt;"",1,0))</f>
        <v/>
      </c>
    </row>
    <row r="1065" customFormat="false" ht="15" hidden="false" customHeight="false" outlineLevel="0" collapsed="false">
      <c r="AL1065" s="7" t="str">
        <f aca="false">IF(A1065="","",IF(COUNTIF(A1065:A$2001,A1065)=1,1,0))</f>
        <v/>
      </c>
      <c r="AM1065" s="7" t="str">
        <f aca="true">IF(I1065="","",TODAY()-I1065)</f>
        <v/>
      </c>
      <c r="AN1065" s="7" t="str">
        <f aca="false">IF(A1065="","",IF(AND(E1065&lt;&gt;"33 確認済",E1065&lt;&gt;"36 送付中"),1,0))</f>
        <v/>
      </c>
      <c r="AO1065" s="7" t="str">
        <f aca="false">IF(A1065="","",IF(AG1065&lt;&gt;"",1,0))</f>
        <v/>
      </c>
    </row>
    <row r="1066" customFormat="false" ht="15" hidden="false" customHeight="false" outlineLevel="0" collapsed="false">
      <c r="AL1066" s="7" t="str">
        <f aca="false">IF(A1066="","",IF(COUNTIF(A1066:A$2001,A1066)=1,1,0))</f>
        <v/>
      </c>
      <c r="AM1066" s="7" t="str">
        <f aca="true">IF(I1066="","",TODAY()-I1066)</f>
        <v/>
      </c>
      <c r="AN1066" s="7" t="str">
        <f aca="false">IF(A1066="","",IF(AND(E1066&lt;&gt;"33 確認済",E1066&lt;&gt;"36 送付中"),1,0))</f>
        <v/>
      </c>
      <c r="AO1066" s="7" t="str">
        <f aca="false">IF(A1066="","",IF(AG1066&lt;&gt;"",1,0))</f>
        <v/>
      </c>
    </row>
    <row r="1067" customFormat="false" ht="15" hidden="false" customHeight="false" outlineLevel="0" collapsed="false">
      <c r="AL1067" s="7" t="str">
        <f aca="false">IF(A1067="","",IF(COUNTIF(A1067:A$2001,A1067)=1,1,0))</f>
        <v/>
      </c>
      <c r="AM1067" s="7" t="str">
        <f aca="true">IF(I1067="","",TODAY()-I1067)</f>
        <v/>
      </c>
      <c r="AN1067" s="7" t="str">
        <f aca="false">IF(A1067="","",IF(AND(E1067&lt;&gt;"33 確認済",E1067&lt;&gt;"36 送付中"),1,0))</f>
        <v/>
      </c>
      <c r="AO1067" s="7" t="str">
        <f aca="false">IF(A1067="","",IF(AG1067&lt;&gt;"",1,0))</f>
        <v/>
      </c>
    </row>
    <row r="1068" customFormat="false" ht="15" hidden="false" customHeight="false" outlineLevel="0" collapsed="false">
      <c r="AL1068" s="7" t="str">
        <f aca="false">IF(A1068="","",IF(COUNTIF(A1068:A$2001,A1068)=1,1,0))</f>
        <v/>
      </c>
      <c r="AM1068" s="7" t="str">
        <f aca="true">IF(I1068="","",TODAY()-I1068)</f>
        <v/>
      </c>
      <c r="AN1068" s="7" t="str">
        <f aca="false">IF(A1068="","",IF(AND(E1068&lt;&gt;"33 確認済",E1068&lt;&gt;"36 送付中"),1,0))</f>
        <v/>
      </c>
      <c r="AO1068" s="7" t="str">
        <f aca="false">IF(A1068="","",IF(AG1068&lt;&gt;"",1,0))</f>
        <v/>
      </c>
    </row>
    <row r="1069" customFormat="false" ht="15" hidden="false" customHeight="false" outlineLevel="0" collapsed="false">
      <c r="AL1069" s="7" t="str">
        <f aca="false">IF(A1069="","",IF(COUNTIF(A1069:A$2001,A1069)=1,1,0))</f>
        <v/>
      </c>
      <c r="AM1069" s="7" t="str">
        <f aca="true">IF(I1069="","",TODAY()-I1069)</f>
        <v/>
      </c>
      <c r="AN1069" s="7" t="str">
        <f aca="false">IF(A1069="","",IF(AND(E1069&lt;&gt;"33 確認済",E1069&lt;&gt;"36 送付中"),1,0))</f>
        <v/>
      </c>
      <c r="AO1069" s="7" t="str">
        <f aca="false">IF(A1069="","",IF(AG1069&lt;&gt;"",1,0))</f>
        <v/>
      </c>
    </row>
    <row r="1070" customFormat="false" ht="15" hidden="false" customHeight="false" outlineLevel="0" collapsed="false">
      <c r="AL1070" s="7" t="str">
        <f aca="false">IF(A1070="","",IF(COUNTIF(A1070:A$2001,A1070)=1,1,0))</f>
        <v/>
      </c>
      <c r="AM1070" s="7" t="str">
        <f aca="true">IF(I1070="","",TODAY()-I1070)</f>
        <v/>
      </c>
      <c r="AN1070" s="7" t="str">
        <f aca="false">IF(A1070="","",IF(AND(E1070&lt;&gt;"33 確認済",E1070&lt;&gt;"36 送付中"),1,0))</f>
        <v/>
      </c>
      <c r="AO1070" s="7" t="str">
        <f aca="false">IF(A1070="","",IF(AG1070&lt;&gt;"",1,0))</f>
        <v/>
      </c>
    </row>
    <row r="1071" customFormat="false" ht="15" hidden="false" customHeight="false" outlineLevel="0" collapsed="false">
      <c r="AL1071" s="7" t="str">
        <f aca="false">IF(A1071="","",IF(COUNTIF(A1071:A$2001,A1071)=1,1,0))</f>
        <v/>
      </c>
      <c r="AM1071" s="7" t="str">
        <f aca="true">IF(I1071="","",TODAY()-I1071)</f>
        <v/>
      </c>
      <c r="AN1071" s="7" t="str">
        <f aca="false">IF(A1071="","",IF(AND(E1071&lt;&gt;"33 確認済",E1071&lt;&gt;"36 送付中"),1,0))</f>
        <v/>
      </c>
      <c r="AO1071" s="7" t="str">
        <f aca="false">IF(A1071="","",IF(AG1071&lt;&gt;"",1,0))</f>
        <v/>
      </c>
    </row>
    <row r="1072" customFormat="false" ht="15" hidden="false" customHeight="false" outlineLevel="0" collapsed="false">
      <c r="AL1072" s="7" t="str">
        <f aca="false">IF(A1072="","",IF(COUNTIF(A1072:A$2001,A1072)=1,1,0))</f>
        <v/>
      </c>
      <c r="AM1072" s="7" t="str">
        <f aca="true">IF(I1072="","",TODAY()-I1072)</f>
        <v/>
      </c>
      <c r="AN1072" s="7" t="str">
        <f aca="false">IF(A1072="","",IF(AND(E1072&lt;&gt;"33 確認済",E1072&lt;&gt;"36 送付中"),1,0))</f>
        <v/>
      </c>
      <c r="AO1072" s="7" t="str">
        <f aca="false">IF(A1072="","",IF(AG1072&lt;&gt;"",1,0))</f>
        <v/>
      </c>
    </row>
    <row r="1073" customFormat="false" ht="15" hidden="false" customHeight="false" outlineLevel="0" collapsed="false">
      <c r="AL1073" s="7" t="str">
        <f aca="false">IF(A1073="","",IF(COUNTIF(A1073:A$2001,A1073)=1,1,0))</f>
        <v/>
      </c>
      <c r="AM1073" s="7" t="str">
        <f aca="true">IF(I1073="","",TODAY()-I1073)</f>
        <v/>
      </c>
      <c r="AN1073" s="7" t="str">
        <f aca="false">IF(A1073="","",IF(AND(E1073&lt;&gt;"33 確認済",E1073&lt;&gt;"36 送付中"),1,0))</f>
        <v/>
      </c>
      <c r="AO1073" s="7" t="str">
        <f aca="false">IF(A1073="","",IF(AG1073&lt;&gt;"",1,0))</f>
        <v/>
      </c>
    </row>
    <row r="1074" customFormat="false" ht="15" hidden="false" customHeight="false" outlineLevel="0" collapsed="false">
      <c r="AL1074" s="7" t="str">
        <f aca="false">IF(A1074="","",IF(COUNTIF(A1074:A$2001,A1074)=1,1,0))</f>
        <v/>
      </c>
      <c r="AM1074" s="7" t="str">
        <f aca="true">IF(I1074="","",TODAY()-I1074)</f>
        <v/>
      </c>
      <c r="AN1074" s="7" t="str">
        <f aca="false">IF(A1074="","",IF(AND(E1074&lt;&gt;"33 確認済",E1074&lt;&gt;"36 送付中"),1,0))</f>
        <v/>
      </c>
      <c r="AO1074" s="7" t="str">
        <f aca="false">IF(A1074="","",IF(AG1074&lt;&gt;"",1,0))</f>
        <v/>
      </c>
    </row>
    <row r="1075" customFormat="false" ht="15" hidden="false" customHeight="false" outlineLevel="0" collapsed="false">
      <c r="AL1075" s="7" t="str">
        <f aca="false">IF(A1075="","",IF(COUNTIF(A1075:A$2001,A1075)=1,1,0))</f>
        <v/>
      </c>
      <c r="AM1075" s="7" t="str">
        <f aca="true">IF(I1075="","",TODAY()-I1075)</f>
        <v/>
      </c>
      <c r="AN1075" s="7" t="str">
        <f aca="false">IF(A1075="","",IF(AND(E1075&lt;&gt;"33 確認済",E1075&lt;&gt;"36 送付中"),1,0))</f>
        <v/>
      </c>
      <c r="AO1075" s="7" t="str">
        <f aca="false">IF(A1075="","",IF(AG1075&lt;&gt;"",1,0))</f>
        <v/>
      </c>
    </row>
    <row r="1076" customFormat="false" ht="15" hidden="false" customHeight="false" outlineLevel="0" collapsed="false">
      <c r="AL1076" s="7" t="str">
        <f aca="false">IF(A1076="","",IF(COUNTIF(A1076:A$2001,A1076)=1,1,0))</f>
        <v/>
      </c>
      <c r="AM1076" s="7" t="str">
        <f aca="true">IF(I1076="","",TODAY()-I1076)</f>
        <v/>
      </c>
      <c r="AN1076" s="7" t="str">
        <f aca="false">IF(A1076="","",IF(AND(E1076&lt;&gt;"33 確認済",E1076&lt;&gt;"36 送付中"),1,0))</f>
        <v/>
      </c>
      <c r="AO1076" s="7" t="str">
        <f aca="false">IF(A1076="","",IF(AG1076&lt;&gt;"",1,0))</f>
        <v/>
      </c>
    </row>
    <row r="1077" customFormat="false" ht="15" hidden="false" customHeight="false" outlineLevel="0" collapsed="false">
      <c r="AL1077" s="7" t="str">
        <f aca="false">IF(A1077="","",IF(COUNTIF(A1077:A$2001,A1077)=1,1,0))</f>
        <v/>
      </c>
      <c r="AM1077" s="7" t="str">
        <f aca="true">IF(I1077="","",TODAY()-I1077)</f>
        <v/>
      </c>
      <c r="AN1077" s="7" t="str">
        <f aca="false">IF(A1077="","",IF(AND(E1077&lt;&gt;"33 確認済",E1077&lt;&gt;"36 送付中"),1,0))</f>
        <v/>
      </c>
      <c r="AO1077" s="7" t="str">
        <f aca="false">IF(A1077="","",IF(AG1077&lt;&gt;"",1,0))</f>
        <v/>
      </c>
    </row>
    <row r="1078" customFormat="false" ht="15" hidden="false" customHeight="false" outlineLevel="0" collapsed="false">
      <c r="AL1078" s="7" t="str">
        <f aca="false">IF(A1078="","",IF(COUNTIF(A1078:A$2001,A1078)=1,1,0))</f>
        <v/>
      </c>
      <c r="AM1078" s="7" t="str">
        <f aca="true">IF(I1078="","",TODAY()-I1078)</f>
        <v/>
      </c>
      <c r="AN1078" s="7" t="str">
        <f aca="false">IF(A1078="","",IF(AND(E1078&lt;&gt;"33 確認済",E1078&lt;&gt;"36 送付中"),1,0))</f>
        <v/>
      </c>
      <c r="AO1078" s="7" t="str">
        <f aca="false">IF(A1078="","",IF(AG1078&lt;&gt;"",1,0))</f>
        <v/>
      </c>
    </row>
    <row r="1079" customFormat="false" ht="15" hidden="false" customHeight="false" outlineLevel="0" collapsed="false">
      <c r="AL1079" s="7" t="str">
        <f aca="false">IF(A1079="","",IF(COUNTIF(A1079:A$2001,A1079)=1,1,0))</f>
        <v/>
      </c>
      <c r="AM1079" s="7" t="str">
        <f aca="true">IF(I1079="","",TODAY()-I1079)</f>
        <v/>
      </c>
      <c r="AN1079" s="7" t="str">
        <f aca="false">IF(A1079="","",IF(AND(E1079&lt;&gt;"33 確認済",E1079&lt;&gt;"36 送付中"),1,0))</f>
        <v/>
      </c>
      <c r="AO1079" s="7" t="str">
        <f aca="false">IF(A1079="","",IF(AG1079&lt;&gt;"",1,0))</f>
        <v/>
      </c>
    </row>
    <row r="1080" customFormat="false" ht="15" hidden="false" customHeight="false" outlineLevel="0" collapsed="false">
      <c r="AL1080" s="7" t="str">
        <f aca="false">IF(A1080="","",IF(COUNTIF(A1080:A$2001,A1080)=1,1,0))</f>
        <v/>
      </c>
      <c r="AM1080" s="7" t="str">
        <f aca="true">IF(I1080="","",TODAY()-I1080)</f>
        <v/>
      </c>
      <c r="AN1080" s="7" t="str">
        <f aca="false">IF(A1080="","",IF(AND(E1080&lt;&gt;"33 確認済",E1080&lt;&gt;"36 送付中"),1,0))</f>
        <v/>
      </c>
      <c r="AO1080" s="7" t="str">
        <f aca="false">IF(A1080="","",IF(AG1080&lt;&gt;"",1,0))</f>
        <v/>
      </c>
    </row>
    <row r="1081" customFormat="false" ht="15" hidden="false" customHeight="false" outlineLevel="0" collapsed="false">
      <c r="AL1081" s="7" t="str">
        <f aca="false">IF(A1081="","",IF(COUNTIF(A1081:A$2001,A1081)=1,1,0))</f>
        <v/>
      </c>
      <c r="AM1081" s="7" t="str">
        <f aca="true">IF(I1081="","",TODAY()-I1081)</f>
        <v/>
      </c>
      <c r="AN1081" s="7" t="str">
        <f aca="false">IF(A1081="","",IF(AND(E1081&lt;&gt;"33 確認済",E1081&lt;&gt;"36 送付中"),1,0))</f>
        <v/>
      </c>
      <c r="AO1081" s="7" t="str">
        <f aca="false">IF(A1081="","",IF(AG1081&lt;&gt;"",1,0))</f>
        <v/>
      </c>
    </row>
    <row r="1082" customFormat="false" ht="15" hidden="false" customHeight="false" outlineLevel="0" collapsed="false">
      <c r="AL1082" s="7" t="str">
        <f aca="false">IF(A1082="","",IF(COUNTIF(A1082:A$2001,A1082)=1,1,0))</f>
        <v/>
      </c>
      <c r="AM1082" s="7" t="str">
        <f aca="true">IF(I1082="","",TODAY()-I1082)</f>
        <v/>
      </c>
      <c r="AN1082" s="7" t="str">
        <f aca="false">IF(A1082="","",IF(AND(E1082&lt;&gt;"33 確認済",E1082&lt;&gt;"36 送付中"),1,0))</f>
        <v/>
      </c>
      <c r="AO1082" s="7" t="str">
        <f aca="false">IF(A1082="","",IF(AG1082&lt;&gt;"",1,0))</f>
        <v/>
      </c>
    </row>
    <row r="1083" customFormat="false" ht="15" hidden="false" customHeight="false" outlineLevel="0" collapsed="false">
      <c r="AL1083" s="7" t="str">
        <f aca="false">IF(A1083="","",IF(COUNTIF(A1083:A$2001,A1083)=1,1,0))</f>
        <v/>
      </c>
      <c r="AM1083" s="7" t="str">
        <f aca="true">IF(I1083="","",TODAY()-I1083)</f>
        <v/>
      </c>
      <c r="AN1083" s="7" t="str">
        <f aca="false">IF(A1083="","",IF(AND(E1083&lt;&gt;"33 確認済",E1083&lt;&gt;"36 送付中"),1,0))</f>
        <v/>
      </c>
      <c r="AO1083" s="7" t="str">
        <f aca="false">IF(A1083="","",IF(AG1083&lt;&gt;"",1,0))</f>
        <v/>
      </c>
    </row>
    <row r="1084" customFormat="false" ht="15" hidden="false" customHeight="false" outlineLevel="0" collapsed="false">
      <c r="AL1084" s="7" t="str">
        <f aca="false">IF(A1084="","",IF(COUNTIF(A1084:A$2001,A1084)=1,1,0))</f>
        <v/>
      </c>
      <c r="AM1084" s="7" t="str">
        <f aca="true">IF(I1084="","",TODAY()-I1084)</f>
        <v/>
      </c>
      <c r="AN1084" s="7" t="str">
        <f aca="false">IF(A1084="","",IF(AND(E1084&lt;&gt;"33 確認済",E1084&lt;&gt;"36 送付中"),1,0))</f>
        <v/>
      </c>
      <c r="AO1084" s="7" t="str">
        <f aca="false">IF(A1084="","",IF(AG1084&lt;&gt;"",1,0))</f>
        <v/>
      </c>
    </row>
    <row r="1085" customFormat="false" ht="15" hidden="false" customHeight="false" outlineLevel="0" collapsed="false">
      <c r="AL1085" s="7" t="str">
        <f aca="false">IF(A1085="","",IF(COUNTIF(A1085:A$2001,A1085)=1,1,0))</f>
        <v/>
      </c>
      <c r="AM1085" s="7" t="str">
        <f aca="true">IF(I1085="","",TODAY()-I1085)</f>
        <v/>
      </c>
      <c r="AN1085" s="7" t="str">
        <f aca="false">IF(A1085="","",IF(AND(E1085&lt;&gt;"33 確認済",E1085&lt;&gt;"36 送付中"),1,0))</f>
        <v/>
      </c>
      <c r="AO1085" s="7" t="str">
        <f aca="false">IF(A1085="","",IF(AG1085&lt;&gt;"",1,0))</f>
        <v/>
      </c>
    </row>
    <row r="1086" customFormat="false" ht="15" hidden="false" customHeight="false" outlineLevel="0" collapsed="false">
      <c r="AL1086" s="7" t="str">
        <f aca="false">IF(A1086="","",IF(COUNTIF(A1086:A$2001,A1086)=1,1,0))</f>
        <v/>
      </c>
      <c r="AM1086" s="7" t="str">
        <f aca="true">IF(I1086="","",TODAY()-I1086)</f>
        <v/>
      </c>
      <c r="AN1086" s="7" t="str">
        <f aca="false">IF(A1086="","",IF(AND(E1086&lt;&gt;"33 確認済",E1086&lt;&gt;"36 送付中"),1,0))</f>
        <v/>
      </c>
      <c r="AO1086" s="7" t="str">
        <f aca="false">IF(A1086="","",IF(AG1086&lt;&gt;"",1,0))</f>
        <v/>
      </c>
    </row>
    <row r="1087" customFormat="false" ht="15" hidden="false" customHeight="false" outlineLevel="0" collapsed="false">
      <c r="AL1087" s="7" t="str">
        <f aca="false">IF(A1087="","",IF(COUNTIF(A1087:A$2001,A1087)=1,1,0))</f>
        <v/>
      </c>
      <c r="AM1087" s="7" t="str">
        <f aca="true">IF(I1087="","",TODAY()-I1087)</f>
        <v/>
      </c>
      <c r="AN1087" s="7" t="str">
        <f aca="false">IF(A1087="","",IF(AND(E1087&lt;&gt;"33 確認済",E1087&lt;&gt;"36 送付中"),1,0))</f>
        <v/>
      </c>
      <c r="AO1087" s="7" t="str">
        <f aca="false">IF(A1087="","",IF(AG1087&lt;&gt;"",1,0))</f>
        <v/>
      </c>
    </row>
    <row r="1088" customFormat="false" ht="15" hidden="false" customHeight="false" outlineLevel="0" collapsed="false">
      <c r="AL1088" s="7" t="str">
        <f aca="false">IF(A1088="","",IF(COUNTIF(A1088:A$2001,A1088)=1,1,0))</f>
        <v/>
      </c>
      <c r="AM1088" s="7" t="str">
        <f aca="true">IF(I1088="","",TODAY()-I1088)</f>
        <v/>
      </c>
      <c r="AN1088" s="7" t="str">
        <f aca="false">IF(A1088="","",IF(AND(E1088&lt;&gt;"33 確認済",E1088&lt;&gt;"36 送付中"),1,0))</f>
        <v/>
      </c>
      <c r="AO1088" s="7" t="str">
        <f aca="false">IF(A1088="","",IF(AG1088&lt;&gt;"",1,0))</f>
        <v/>
      </c>
    </row>
    <row r="1089" customFormat="false" ht="15" hidden="false" customHeight="false" outlineLevel="0" collapsed="false">
      <c r="AL1089" s="7" t="str">
        <f aca="false">IF(A1089="","",IF(COUNTIF(A1089:A$2001,A1089)=1,1,0))</f>
        <v/>
      </c>
      <c r="AM1089" s="7" t="str">
        <f aca="true">IF(I1089="","",TODAY()-I1089)</f>
        <v/>
      </c>
      <c r="AN1089" s="7" t="str">
        <f aca="false">IF(A1089="","",IF(AND(E1089&lt;&gt;"33 確認済",E1089&lt;&gt;"36 送付中"),1,0))</f>
        <v/>
      </c>
      <c r="AO1089" s="7" t="str">
        <f aca="false">IF(A1089="","",IF(AG1089&lt;&gt;"",1,0))</f>
        <v/>
      </c>
    </row>
    <row r="1090" customFormat="false" ht="15" hidden="false" customHeight="false" outlineLevel="0" collapsed="false">
      <c r="AL1090" s="7" t="str">
        <f aca="false">IF(A1090="","",IF(COUNTIF(A1090:A$2001,A1090)=1,1,0))</f>
        <v/>
      </c>
      <c r="AM1090" s="7" t="str">
        <f aca="true">IF(I1090="","",TODAY()-I1090)</f>
        <v/>
      </c>
      <c r="AN1090" s="7" t="str">
        <f aca="false">IF(A1090="","",IF(AND(E1090&lt;&gt;"33 確認済",E1090&lt;&gt;"36 送付中"),1,0))</f>
        <v/>
      </c>
      <c r="AO1090" s="7" t="str">
        <f aca="false">IF(A1090="","",IF(AG1090&lt;&gt;"",1,0))</f>
        <v/>
      </c>
    </row>
    <row r="1091" customFormat="false" ht="15" hidden="false" customHeight="false" outlineLevel="0" collapsed="false">
      <c r="AL1091" s="7" t="str">
        <f aca="false">IF(A1091="","",IF(COUNTIF(A1091:A$2001,A1091)=1,1,0))</f>
        <v/>
      </c>
      <c r="AM1091" s="7" t="str">
        <f aca="true">IF(I1091="","",TODAY()-I1091)</f>
        <v/>
      </c>
      <c r="AN1091" s="7" t="str">
        <f aca="false">IF(A1091="","",IF(AND(E1091&lt;&gt;"33 確認済",E1091&lt;&gt;"36 送付中"),1,0))</f>
        <v/>
      </c>
      <c r="AO1091" s="7" t="str">
        <f aca="false">IF(A1091="","",IF(AG1091&lt;&gt;"",1,0))</f>
        <v/>
      </c>
    </row>
    <row r="1092" customFormat="false" ht="15" hidden="false" customHeight="false" outlineLevel="0" collapsed="false">
      <c r="AL1092" s="7" t="str">
        <f aca="false">IF(A1092="","",IF(COUNTIF(A1092:A$2001,A1092)=1,1,0))</f>
        <v/>
      </c>
      <c r="AM1092" s="7" t="str">
        <f aca="true">IF(I1092="","",TODAY()-I1092)</f>
        <v/>
      </c>
      <c r="AN1092" s="7" t="str">
        <f aca="false">IF(A1092="","",IF(AND(E1092&lt;&gt;"33 確認済",E1092&lt;&gt;"36 送付中"),1,0))</f>
        <v/>
      </c>
      <c r="AO1092" s="7" t="str">
        <f aca="false">IF(A1092="","",IF(AG1092&lt;&gt;"",1,0))</f>
        <v/>
      </c>
    </row>
    <row r="1093" customFormat="false" ht="15" hidden="false" customHeight="false" outlineLevel="0" collapsed="false">
      <c r="AL1093" s="7" t="str">
        <f aca="false">IF(A1093="","",IF(COUNTIF(A1093:A$2001,A1093)=1,1,0))</f>
        <v/>
      </c>
      <c r="AM1093" s="7" t="str">
        <f aca="true">IF(I1093="","",TODAY()-I1093)</f>
        <v/>
      </c>
      <c r="AN1093" s="7" t="str">
        <f aca="false">IF(A1093="","",IF(AND(E1093&lt;&gt;"33 確認済",E1093&lt;&gt;"36 送付中"),1,0))</f>
        <v/>
      </c>
      <c r="AO1093" s="7" t="str">
        <f aca="false">IF(A1093="","",IF(AG1093&lt;&gt;"",1,0))</f>
        <v/>
      </c>
    </row>
    <row r="1094" customFormat="false" ht="15" hidden="false" customHeight="false" outlineLevel="0" collapsed="false">
      <c r="AL1094" s="7" t="str">
        <f aca="false">IF(A1094="","",IF(COUNTIF(A1094:A$2001,A1094)=1,1,0))</f>
        <v/>
      </c>
      <c r="AM1094" s="7" t="str">
        <f aca="true">IF(I1094="","",TODAY()-I1094)</f>
        <v/>
      </c>
      <c r="AN1094" s="7" t="str">
        <f aca="false">IF(A1094="","",IF(AND(E1094&lt;&gt;"33 確認済",E1094&lt;&gt;"36 送付中"),1,0))</f>
        <v/>
      </c>
      <c r="AO1094" s="7" t="str">
        <f aca="false">IF(A1094="","",IF(AG1094&lt;&gt;"",1,0))</f>
        <v/>
      </c>
    </row>
    <row r="1095" customFormat="false" ht="15" hidden="false" customHeight="false" outlineLevel="0" collapsed="false">
      <c r="AL1095" s="7" t="str">
        <f aca="false">IF(A1095="","",IF(COUNTIF(A1095:A$2001,A1095)=1,1,0))</f>
        <v/>
      </c>
      <c r="AM1095" s="7" t="str">
        <f aca="true">IF(I1095="","",TODAY()-I1095)</f>
        <v/>
      </c>
      <c r="AN1095" s="7" t="str">
        <f aca="false">IF(A1095="","",IF(AND(E1095&lt;&gt;"33 確認済",E1095&lt;&gt;"36 送付中"),1,0))</f>
        <v/>
      </c>
      <c r="AO1095" s="7" t="str">
        <f aca="false">IF(A1095="","",IF(AG1095&lt;&gt;"",1,0))</f>
        <v/>
      </c>
    </row>
    <row r="1096" customFormat="false" ht="15" hidden="false" customHeight="false" outlineLevel="0" collapsed="false">
      <c r="AL1096" s="7" t="str">
        <f aca="false">IF(A1096="","",IF(COUNTIF(A1096:A$2001,A1096)=1,1,0))</f>
        <v/>
      </c>
      <c r="AM1096" s="7" t="str">
        <f aca="true">IF(I1096="","",TODAY()-I1096)</f>
        <v/>
      </c>
      <c r="AN1096" s="7" t="str">
        <f aca="false">IF(A1096="","",IF(AND(E1096&lt;&gt;"33 確認済",E1096&lt;&gt;"36 送付中"),1,0))</f>
        <v/>
      </c>
      <c r="AO1096" s="7" t="str">
        <f aca="false">IF(A1096="","",IF(AG1096&lt;&gt;"",1,0))</f>
        <v/>
      </c>
    </row>
    <row r="1097" customFormat="false" ht="15" hidden="false" customHeight="false" outlineLevel="0" collapsed="false">
      <c r="AL1097" s="7" t="str">
        <f aca="false">IF(A1097="","",IF(COUNTIF(A1097:A$2001,A1097)=1,1,0))</f>
        <v/>
      </c>
      <c r="AM1097" s="7" t="str">
        <f aca="true">IF(I1097="","",TODAY()-I1097)</f>
        <v/>
      </c>
      <c r="AN1097" s="7" t="str">
        <f aca="false">IF(A1097="","",IF(AND(E1097&lt;&gt;"33 確認済",E1097&lt;&gt;"36 送付中"),1,0))</f>
        <v/>
      </c>
      <c r="AO1097" s="7" t="str">
        <f aca="false">IF(A1097="","",IF(AG1097&lt;&gt;"",1,0))</f>
        <v/>
      </c>
    </row>
    <row r="1098" customFormat="false" ht="15" hidden="false" customHeight="false" outlineLevel="0" collapsed="false">
      <c r="AL1098" s="7" t="str">
        <f aca="false">IF(A1098="","",IF(COUNTIF(A1098:A$2001,A1098)=1,1,0))</f>
        <v/>
      </c>
      <c r="AM1098" s="7" t="str">
        <f aca="true">IF(I1098="","",TODAY()-I1098)</f>
        <v/>
      </c>
      <c r="AN1098" s="7" t="str">
        <f aca="false">IF(A1098="","",IF(AND(E1098&lt;&gt;"33 確認済",E1098&lt;&gt;"36 送付中"),1,0))</f>
        <v/>
      </c>
      <c r="AO1098" s="7" t="str">
        <f aca="false">IF(A1098="","",IF(AG1098&lt;&gt;"",1,0))</f>
        <v/>
      </c>
    </row>
    <row r="1099" customFormat="false" ht="15" hidden="false" customHeight="false" outlineLevel="0" collapsed="false">
      <c r="AL1099" s="7" t="str">
        <f aca="false">IF(A1099="","",IF(COUNTIF(A1099:A$2001,A1099)=1,1,0))</f>
        <v/>
      </c>
      <c r="AM1099" s="7" t="str">
        <f aca="true">IF(I1099="","",TODAY()-I1099)</f>
        <v/>
      </c>
      <c r="AN1099" s="7" t="str">
        <f aca="false">IF(A1099="","",IF(AND(E1099&lt;&gt;"33 確認済",E1099&lt;&gt;"36 送付中"),1,0))</f>
        <v/>
      </c>
      <c r="AO1099" s="7" t="str">
        <f aca="false">IF(A1099="","",IF(AG1099&lt;&gt;"",1,0))</f>
        <v/>
      </c>
    </row>
    <row r="1100" customFormat="false" ht="15" hidden="false" customHeight="false" outlineLevel="0" collapsed="false">
      <c r="AL1100" s="7" t="str">
        <f aca="false">IF(A1100="","",IF(COUNTIF(A1100:A$2001,A1100)=1,1,0))</f>
        <v/>
      </c>
      <c r="AM1100" s="7" t="str">
        <f aca="true">IF(I1100="","",TODAY()-I1100)</f>
        <v/>
      </c>
      <c r="AN1100" s="7" t="str">
        <f aca="false">IF(A1100="","",IF(AND(E1100&lt;&gt;"33 確認済",E1100&lt;&gt;"36 送付中"),1,0))</f>
        <v/>
      </c>
      <c r="AO1100" s="7" t="str">
        <f aca="false">IF(A1100="","",IF(AG1100&lt;&gt;"",1,0))</f>
        <v/>
      </c>
    </row>
    <row r="1101" customFormat="false" ht="15" hidden="false" customHeight="false" outlineLevel="0" collapsed="false">
      <c r="AL1101" s="7" t="str">
        <f aca="false">IF(A1101="","",IF(COUNTIF(A1101:A$2001,A1101)=1,1,0))</f>
        <v/>
      </c>
      <c r="AM1101" s="7" t="str">
        <f aca="true">IF(I1101="","",TODAY()-I1101)</f>
        <v/>
      </c>
      <c r="AN1101" s="7" t="str">
        <f aca="false">IF(A1101="","",IF(AND(E1101&lt;&gt;"33 確認済",E1101&lt;&gt;"36 送付中"),1,0))</f>
        <v/>
      </c>
      <c r="AO1101" s="7" t="str">
        <f aca="false">IF(A1101="","",IF(AG1101&lt;&gt;"",1,0))</f>
        <v/>
      </c>
    </row>
    <row r="1102" customFormat="false" ht="15" hidden="false" customHeight="false" outlineLevel="0" collapsed="false">
      <c r="AL1102" s="7" t="str">
        <f aca="false">IF(A1102="","",IF(COUNTIF(A1102:A$2001,A1102)=1,1,0))</f>
        <v/>
      </c>
      <c r="AM1102" s="7" t="str">
        <f aca="true">IF(I1102="","",TODAY()-I1102)</f>
        <v/>
      </c>
      <c r="AN1102" s="7" t="str">
        <f aca="false">IF(A1102="","",IF(AND(E1102&lt;&gt;"33 確認済",E1102&lt;&gt;"36 送付中"),1,0))</f>
        <v/>
      </c>
      <c r="AO1102" s="7" t="str">
        <f aca="false">IF(A1102="","",IF(AG1102&lt;&gt;"",1,0))</f>
        <v/>
      </c>
    </row>
    <row r="1103" customFormat="false" ht="15" hidden="false" customHeight="false" outlineLevel="0" collapsed="false">
      <c r="AL1103" s="7" t="str">
        <f aca="false">IF(A1103="","",IF(COUNTIF(A1103:A$2001,A1103)=1,1,0))</f>
        <v/>
      </c>
      <c r="AM1103" s="7" t="str">
        <f aca="true">IF(I1103="","",TODAY()-I1103)</f>
        <v/>
      </c>
      <c r="AN1103" s="7" t="str">
        <f aca="false">IF(A1103="","",IF(AND(E1103&lt;&gt;"33 確認済",E1103&lt;&gt;"36 送付中"),1,0))</f>
        <v/>
      </c>
      <c r="AO1103" s="7" t="str">
        <f aca="false">IF(A1103="","",IF(AG1103&lt;&gt;"",1,0))</f>
        <v/>
      </c>
    </row>
    <row r="1104" customFormat="false" ht="15" hidden="false" customHeight="false" outlineLevel="0" collapsed="false">
      <c r="AL1104" s="7" t="str">
        <f aca="false">IF(A1104="","",IF(COUNTIF(A1104:A$2001,A1104)=1,1,0))</f>
        <v/>
      </c>
      <c r="AM1104" s="7" t="str">
        <f aca="true">IF(I1104="","",TODAY()-I1104)</f>
        <v/>
      </c>
      <c r="AN1104" s="7" t="str">
        <f aca="false">IF(A1104="","",IF(AND(E1104&lt;&gt;"33 確認済",E1104&lt;&gt;"36 送付中"),1,0))</f>
        <v/>
      </c>
      <c r="AO1104" s="7" t="str">
        <f aca="false">IF(A1104="","",IF(AG1104&lt;&gt;"",1,0))</f>
        <v/>
      </c>
    </row>
    <row r="1105" customFormat="false" ht="15" hidden="false" customHeight="false" outlineLevel="0" collapsed="false">
      <c r="AL1105" s="7" t="str">
        <f aca="false">IF(A1105="","",IF(COUNTIF(A1105:A$2001,A1105)=1,1,0))</f>
        <v/>
      </c>
      <c r="AM1105" s="7" t="str">
        <f aca="true">IF(I1105="","",TODAY()-I1105)</f>
        <v/>
      </c>
      <c r="AN1105" s="7" t="str">
        <f aca="false">IF(A1105="","",IF(AND(E1105&lt;&gt;"33 確認済",E1105&lt;&gt;"36 送付中"),1,0))</f>
        <v/>
      </c>
      <c r="AO1105" s="7" t="str">
        <f aca="false">IF(A1105="","",IF(AG1105&lt;&gt;"",1,0))</f>
        <v/>
      </c>
    </row>
    <row r="1106" customFormat="false" ht="15" hidden="false" customHeight="false" outlineLevel="0" collapsed="false">
      <c r="AL1106" s="7" t="str">
        <f aca="false">IF(A1106="","",IF(COUNTIF(A1106:A$2001,A1106)=1,1,0))</f>
        <v/>
      </c>
      <c r="AM1106" s="7" t="str">
        <f aca="true">IF(I1106="","",TODAY()-I1106)</f>
        <v/>
      </c>
      <c r="AN1106" s="7" t="str">
        <f aca="false">IF(A1106="","",IF(AND(E1106&lt;&gt;"33 確認済",E1106&lt;&gt;"36 送付中"),1,0))</f>
        <v/>
      </c>
      <c r="AO1106" s="7" t="str">
        <f aca="false">IF(A1106="","",IF(AG1106&lt;&gt;"",1,0))</f>
        <v/>
      </c>
    </row>
    <row r="1107" customFormat="false" ht="15" hidden="false" customHeight="false" outlineLevel="0" collapsed="false">
      <c r="AL1107" s="7" t="str">
        <f aca="false">IF(A1107="","",IF(COUNTIF(A1107:A$2001,A1107)=1,1,0))</f>
        <v/>
      </c>
      <c r="AM1107" s="7" t="str">
        <f aca="true">IF(I1107="","",TODAY()-I1107)</f>
        <v/>
      </c>
      <c r="AN1107" s="7" t="str">
        <f aca="false">IF(A1107="","",IF(AND(E1107&lt;&gt;"33 確認済",E1107&lt;&gt;"36 送付中"),1,0))</f>
        <v/>
      </c>
      <c r="AO1107" s="7" t="str">
        <f aca="false">IF(A1107="","",IF(AG1107&lt;&gt;"",1,0))</f>
        <v/>
      </c>
    </row>
    <row r="1108" customFormat="false" ht="15" hidden="false" customHeight="false" outlineLevel="0" collapsed="false">
      <c r="AL1108" s="7" t="str">
        <f aca="false">IF(A1108="","",IF(COUNTIF(A1108:A$2001,A1108)=1,1,0))</f>
        <v/>
      </c>
      <c r="AM1108" s="7" t="str">
        <f aca="true">IF(I1108="","",TODAY()-I1108)</f>
        <v/>
      </c>
      <c r="AN1108" s="7" t="str">
        <f aca="false">IF(A1108="","",IF(AND(E1108&lt;&gt;"33 確認済",E1108&lt;&gt;"36 送付中"),1,0))</f>
        <v/>
      </c>
      <c r="AO1108" s="7" t="str">
        <f aca="false">IF(A1108="","",IF(AG1108&lt;&gt;"",1,0))</f>
        <v/>
      </c>
    </row>
    <row r="1109" customFormat="false" ht="15" hidden="false" customHeight="false" outlineLevel="0" collapsed="false">
      <c r="AL1109" s="7" t="str">
        <f aca="false">IF(A1109="","",IF(COUNTIF(A1109:A$2001,A1109)=1,1,0))</f>
        <v/>
      </c>
      <c r="AM1109" s="7" t="str">
        <f aca="true">IF(I1109="","",TODAY()-I1109)</f>
        <v/>
      </c>
      <c r="AN1109" s="7" t="str">
        <f aca="false">IF(A1109="","",IF(AND(E1109&lt;&gt;"33 確認済",E1109&lt;&gt;"36 送付中"),1,0))</f>
        <v/>
      </c>
      <c r="AO1109" s="7" t="str">
        <f aca="false">IF(A1109="","",IF(AG1109&lt;&gt;"",1,0))</f>
        <v/>
      </c>
    </row>
    <row r="1110" customFormat="false" ht="15" hidden="false" customHeight="false" outlineLevel="0" collapsed="false">
      <c r="AL1110" s="7" t="str">
        <f aca="false">IF(A1110="","",IF(COUNTIF(A1110:A$2001,A1110)=1,1,0))</f>
        <v/>
      </c>
      <c r="AM1110" s="7" t="str">
        <f aca="true">IF(I1110="","",TODAY()-I1110)</f>
        <v/>
      </c>
      <c r="AN1110" s="7" t="str">
        <f aca="false">IF(A1110="","",IF(AND(E1110&lt;&gt;"33 確認済",E1110&lt;&gt;"36 送付中"),1,0))</f>
        <v/>
      </c>
      <c r="AO1110" s="7" t="str">
        <f aca="false">IF(A1110="","",IF(AG1110&lt;&gt;"",1,0))</f>
        <v/>
      </c>
    </row>
    <row r="1111" customFormat="false" ht="15" hidden="false" customHeight="false" outlineLevel="0" collapsed="false">
      <c r="AL1111" s="7" t="str">
        <f aca="false">IF(A1111="","",IF(COUNTIF(A1111:A$2001,A1111)=1,1,0))</f>
        <v/>
      </c>
      <c r="AM1111" s="7" t="str">
        <f aca="true">IF(I1111="","",TODAY()-I1111)</f>
        <v/>
      </c>
      <c r="AN1111" s="7" t="str">
        <f aca="false">IF(A1111="","",IF(AND(E1111&lt;&gt;"33 確認済",E1111&lt;&gt;"36 送付中"),1,0))</f>
        <v/>
      </c>
      <c r="AO1111" s="7" t="str">
        <f aca="false">IF(A1111="","",IF(AG1111&lt;&gt;"",1,0))</f>
        <v/>
      </c>
    </row>
    <row r="1112" customFormat="false" ht="15" hidden="false" customHeight="false" outlineLevel="0" collapsed="false">
      <c r="AL1112" s="7" t="str">
        <f aca="false">IF(A1112="","",IF(COUNTIF(A1112:A$2001,A1112)=1,1,0))</f>
        <v/>
      </c>
      <c r="AM1112" s="7" t="str">
        <f aca="true">IF(I1112="","",TODAY()-I1112)</f>
        <v/>
      </c>
      <c r="AN1112" s="7" t="str">
        <f aca="false">IF(A1112="","",IF(AND(E1112&lt;&gt;"33 確認済",E1112&lt;&gt;"36 送付中"),1,0))</f>
        <v/>
      </c>
      <c r="AO1112" s="7" t="str">
        <f aca="false">IF(A1112="","",IF(AG1112&lt;&gt;"",1,0))</f>
        <v/>
      </c>
    </row>
    <row r="1113" customFormat="false" ht="15" hidden="false" customHeight="false" outlineLevel="0" collapsed="false">
      <c r="AL1113" s="7" t="str">
        <f aca="false">IF(A1113="","",IF(COUNTIF(A1113:A$2001,A1113)=1,1,0))</f>
        <v/>
      </c>
      <c r="AM1113" s="7" t="str">
        <f aca="true">IF(I1113="","",TODAY()-I1113)</f>
        <v/>
      </c>
      <c r="AN1113" s="7" t="str">
        <f aca="false">IF(A1113="","",IF(AND(E1113&lt;&gt;"33 確認済",E1113&lt;&gt;"36 送付中"),1,0))</f>
        <v/>
      </c>
      <c r="AO1113" s="7" t="str">
        <f aca="false">IF(A1113="","",IF(AG1113&lt;&gt;"",1,0))</f>
        <v/>
      </c>
    </row>
    <row r="1114" customFormat="false" ht="15" hidden="false" customHeight="false" outlineLevel="0" collapsed="false">
      <c r="AL1114" s="7" t="str">
        <f aca="false">IF(A1114="","",IF(COUNTIF(A1114:A$2001,A1114)=1,1,0))</f>
        <v/>
      </c>
      <c r="AM1114" s="7" t="str">
        <f aca="true">IF(I1114="","",TODAY()-I1114)</f>
        <v/>
      </c>
      <c r="AN1114" s="7" t="str">
        <f aca="false">IF(A1114="","",IF(AND(E1114&lt;&gt;"33 確認済",E1114&lt;&gt;"36 送付中"),1,0))</f>
        <v/>
      </c>
      <c r="AO1114" s="7" t="str">
        <f aca="false">IF(A1114="","",IF(AG1114&lt;&gt;"",1,0))</f>
        <v/>
      </c>
    </row>
    <row r="1115" customFormat="false" ht="15" hidden="false" customHeight="false" outlineLevel="0" collapsed="false">
      <c r="AL1115" s="7" t="str">
        <f aca="false">IF(A1115="","",IF(COUNTIF(A1115:A$2001,A1115)=1,1,0))</f>
        <v/>
      </c>
      <c r="AM1115" s="7" t="str">
        <f aca="true">IF(I1115="","",TODAY()-I1115)</f>
        <v/>
      </c>
      <c r="AN1115" s="7" t="str">
        <f aca="false">IF(A1115="","",IF(AND(E1115&lt;&gt;"33 確認済",E1115&lt;&gt;"36 送付中"),1,0))</f>
        <v/>
      </c>
      <c r="AO1115" s="7" t="str">
        <f aca="false">IF(A1115="","",IF(AG1115&lt;&gt;"",1,0))</f>
        <v/>
      </c>
    </row>
    <row r="1116" customFormat="false" ht="15" hidden="false" customHeight="false" outlineLevel="0" collapsed="false">
      <c r="AL1116" s="7" t="str">
        <f aca="false">IF(A1116="","",IF(COUNTIF(A1116:A$2001,A1116)=1,1,0))</f>
        <v/>
      </c>
      <c r="AM1116" s="7" t="str">
        <f aca="true">IF(I1116="","",TODAY()-I1116)</f>
        <v/>
      </c>
      <c r="AN1116" s="7" t="str">
        <f aca="false">IF(A1116="","",IF(AND(E1116&lt;&gt;"33 確認済",E1116&lt;&gt;"36 送付中"),1,0))</f>
        <v/>
      </c>
      <c r="AO1116" s="7" t="str">
        <f aca="false">IF(A1116="","",IF(AG1116&lt;&gt;"",1,0))</f>
        <v/>
      </c>
    </row>
    <row r="1117" customFormat="false" ht="15" hidden="false" customHeight="false" outlineLevel="0" collapsed="false">
      <c r="AL1117" s="7" t="str">
        <f aca="false">IF(A1117="","",IF(COUNTIF(A1117:A$2001,A1117)=1,1,0))</f>
        <v/>
      </c>
      <c r="AM1117" s="7" t="str">
        <f aca="true">IF(I1117="","",TODAY()-I1117)</f>
        <v/>
      </c>
      <c r="AN1117" s="7" t="str">
        <f aca="false">IF(A1117="","",IF(AND(E1117&lt;&gt;"33 確認済",E1117&lt;&gt;"36 送付中"),1,0))</f>
        <v/>
      </c>
      <c r="AO1117" s="7" t="str">
        <f aca="false">IF(A1117="","",IF(AG1117&lt;&gt;"",1,0))</f>
        <v/>
      </c>
    </row>
    <row r="1118" customFormat="false" ht="15" hidden="false" customHeight="false" outlineLevel="0" collapsed="false">
      <c r="AL1118" s="7" t="str">
        <f aca="false">IF(A1118="","",IF(COUNTIF(A1118:A$2001,A1118)=1,1,0))</f>
        <v/>
      </c>
      <c r="AM1118" s="7" t="str">
        <f aca="true">IF(I1118="","",TODAY()-I1118)</f>
        <v/>
      </c>
      <c r="AN1118" s="7" t="str">
        <f aca="false">IF(A1118="","",IF(AND(E1118&lt;&gt;"33 確認済",E1118&lt;&gt;"36 送付中"),1,0))</f>
        <v/>
      </c>
      <c r="AO1118" s="7" t="str">
        <f aca="false">IF(A1118="","",IF(AG1118&lt;&gt;"",1,0))</f>
        <v/>
      </c>
    </row>
    <row r="1119" customFormat="false" ht="15" hidden="false" customHeight="false" outlineLevel="0" collapsed="false">
      <c r="AL1119" s="7" t="str">
        <f aca="false">IF(A1119="","",IF(COUNTIF(A1119:A$2001,A1119)=1,1,0))</f>
        <v/>
      </c>
      <c r="AM1119" s="7" t="str">
        <f aca="true">IF(I1119="","",TODAY()-I1119)</f>
        <v/>
      </c>
      <c r="AN1119" s="7" t="str">
        <f aca="false">IF(A1119="","",IF(AND(E1119&lt;&gt;"33 確認済",E1119&lt;&gt;"36 送付中"),1,0))</f>
        <v/>
      </c>
      <c r="AO1119" s="7" t="str">
        <f aca="false">IF(A1119="","",IF(AG1119&lt;&gt;"",1,0))</f>
        <v/>
      </c>
    </row>
    <row r="1120" customFormat="false" ht="15" hidden="false" customHeight="false" outlineLevel="0" collapsed="false">
      <c r="AL1120" s="7" t="str">
        <f aca="false">IF(A1120="","",IF(COUNTIF(A1120:A$2001,A1120)=1,1,0))</f>
        <v/>
      </c>
      <c r="AM1120" s="7" t="str">
        <f aca="true">IF(I1120="","",TODAY()-I1120)</f>
        <v/>
      </c>
      <c r="AN1120" s="7" t="str">
        <f aca="false">IF(A1120="","",IF(AND(E1120&lt;&gt;"33 確認済",E1120&lt;&gt;"36 送付中"),1,0))</f>
        <v/>
      </c>
      <c r="AO1120" s="7" t="str">
        <f aca="false">IF(A1120="","",IF(AG1120&lt;&gt;"",1,0))</f>
        <v/>
      </c>
    </row>
    <row r="1121" customFormat="false" ht="15" hidden="false" customHeight="false" outlineLevel="0" collapsed="false">
      <c r="AL1121" s="7" t="str">
        <f aca="false">IF(A1121="","",IF(COUNTIF(A1121:A$2001,A1121)=1,1,0))</f>
        <v/>
      </c>
      <c r="AM1121" s="7" t="str">
        <f aca="true">IF(I1121="","",TODAY()-I1121)</f>
        <v/>
      </c>
      <c r="AN1121" s="7" t="str">
        <f aca="false">IF(A1121="","",IF(AND(E1121&lt;&gt;"33 確認済",E1121&lt;&gt;"36 送付中"),1,0))</f>
        <v/>
      </c>
      <c r="AO1121" s="7" t="str">
        <f aca="false">IF(A1121="","",IF(AG1121&lt;&gt;"",1,0))</f>
        <v/>
      </c>
    </row>
    <row r="1122" customFormat="false" ht="15" hidden="false" customHeight="false" outlineLevel="0" collapsed="false">
      <c r="AL1122" s="7" t="str">
        <f aca="false">IF(A1122="","",IF(COUNTIF(A1122:A$2001,A1122)=1,1,0))</f>
        <v/>
      </c>
      <c r="AM1122" s="7" t="str">
        <f aca="true">IF(I1122="","",TODAY()-I1122)</f>
        <v/>
      </c>
      <c r="AN1122" s="7" t="str">
        <f aca="false">IF(A1122="","",IF(AND(E1122&lt;&gt;"33 確認済",E1122&lt;&gt;"36 送付中"),1,0))</f>
        <v/>
      </c>
      <c r="AO1122" s="7" t="str">
        <f aca="false">IF(A1122="","",IF(AG1122&lt;&gt;"",1,0))</f>
        <v/>
      </c>
    </row>
    <row r="1123" customFormat="false" ht="15" hidden="false" customHeight="false" outlineLevel="0" collapsed="false">
      <c r="AL1123" s="7" t="str">
        <f aca="false">IF(A1123="","",IF(COUNTIF(A1123:A$2001,A1123)=1,1,0))</f>
        <v/>
      </c>
      <c r="AM1123" s="7" t="str">
        <f aca="true">IF(I1123="","",TODAY()-I1123)</f>
        <v/>
      </c>
      <c r="AN1123" s="7" t="str">
        <f aca="false">IF(A1123="","",IF(AND(E1123&lt;&gt;"33 確認済",E1123&lt;&gt;"36 送付中"),1,0))</f>
        <v/>
      </c>
      <c r="AO1123" s="7" t="str">
        <f aca="false">IF(A1123="","",IF(AG1123&lt;&gt;"",1,0))</f>
        <v/>
      </c>
    </row>
    <row r="1124" customFormat="false" ht="15" hidden="false" customHeight="false" outlineLevel="0" collapsed="false">
      <c r="AL1124" s="7" t="str">
        <f aca="false">IF(A1124="","",IF(COUNTIF(A1124:A$2001,A1124)=1,1,0))</f>
        <v/>
      </c>
      <c r="AM1124" s="7" t="str">
        <f aca="true">IF(I1124="","",TODAY()-I1124)</f>
        <v/>
      </c>
      <c r="AN1124" s="7" t="str">
        <f aca="false">IF(A1124="","",IF(AND(E1124&lt;&gt;"33 確認済",E1124&lt;&gt;"36 送付中"),1,0))</f>
        <v/>
      </c>
      <c r="AO1124" s="7" t="str">
        <f aca="false">IF(A1124="","",IF(AG1124&lt;&gt;"",1,0))</f>
        <v/>
      </c>
    </row>
    <row r="1125" customFormat="false" ht="15" hidden="false" customHeight="false" outlineLevel="0" collapsed="false">
      <c r="AL1125" s="7" t="str">
        <f aca="false">IF(A1125="","",IF(COUNTIF(A1125:A$2001,A1125)=1,1,0))</f>
        <v/>
      </c>
      <c r="AM1125" s="7" t="str">
        <f aca="true">IF(I1125="","",TODAY()-I1125)</f>
        <v/>
      </c>
      <c r="AN1125" s="7" t="str">
        <f aca="false">IF(A1125="","",IF(AND(E1125&lt;&gt;"33 確認済",E1125&lt;&gt;"36 送付中"),1,0))</f>
        <v/>
      </c>
      <c r="AO1125" s="7" t="str">
        <f aca="false">IF(A1125="","",IF(AG1125&lt;&gt;"",1,0))</f>
        <v/>
      </c>
    </row>
    <row r="1126" customFormat="false" ht="15" hidden="false" customHeight="false" outlineLevel="0" collapsed="false">
      <c r="AL1126" s="7" t="str">
        <f aca="false">IF(A1126="","",IF(COUNTIF(A1126:A$2001,A1126)=1,1,0))</f>
        <v/>
      </c>
      <c r="AM1126" s="7" t="str">
        <f aca="true">IF(I1126="","",TODAY()-I1126)</f>
        <v/>
      </c>
      <c r="AN1126" s="7" t="str">
        <f aca="false">IF(A1126="","",IF(AND(E1126&lt;&gt;"33 確認済",E1126&lt;&gt;"36 送付中"),1,0))</f>
        <v/>
      </c>
      <c r="AO1126" s="7" t="str">
        <f aca="false">IF(A1126="","",IF(AG1126&lt;&gt;"",1,0))</f>
        <v/>
      </c>
    </row>
    <row r="1127" customFormat="false" ht="15" hidden="false" customHeight="false" outlineLevel="0" collapsed="false">
      <c r="AL1127" s="7" t="str">
        <f aca="false">IF(A1127="","",IF(COUNTIF(A1127:A$2001,A1127)=1,1,0))</f>
        <v/>
      </c>
      <c r="AM1127" s="7" t="str">
        <f aca="true">IF(I1127="","",TODAY()-I1127)</f>
        <v/>
      </c>
      <c r="AN1127" s="7" t="str">
        <f aca="false">IF(A1127="","",IF(AND(E1127&lt;&gt;"33 確認済",E1127&lt;&gt;"36 送付中"),1,0))</f>
        <v/>
      </c>
      <c r="AO1127" s="7" t="str">
        <f aca="false">IF(A1127="","",IF(AG1127&lt;&gt;"",1,0))</f>
        <v/>
      </c>
    </row>
    <row r="1128" customFormat="false" ht="15" hidden="false" customHeight="false" outlineLevel="0" collapsed="false">
      <c r="AL1128" s="7" t="str">
        <f aca="false">IF(A1128="","",IF(COUNTIF(A1128:A$2001,A1128)=1,1,0))</f>
        <v/>
      </c>
      <c r="AM1128" s="7" t="str">
        <f aca="true">IF(I1128="","",TODAY()-I1128)</f>
        <v/>
      </c>
      <c r="AN1128" s="7" t="str">
        <f aca="false">IF(A1128="","",IF(AND(E1128&lt;&gt;"33 確認済",E1128&lt;&gt;"36 送付中"),1,0))</f>
        <v/>
      </c>
      <c r="AO1128" s="7" t="str">
        <f aca="false">IF(A1128="","",IF(AG1128&lt;&gt;"",1,0))</f>
        <v/>
      </c>
    </row>
    <row r="1129" customFormat="false" ht="15" hidden="false" customHeight="false" outlineLevel="0" collapsed="false">
      <c r="AL1129" s="7" t="str">
        <f aca="false">IF(A1129="","",IF(COUNTIF(A1129:A$2001,A1129)=1,1,0))</f>
        <v/>
      </c>
      <c r="AM1129" s="7" t="str">
        <f aca="true">IF(I1129="","",TODAY()-I1129)</f>
        <v/>
      </c>
      <c r="AN1129" s="7" t="str">
        <f aca="false">IF(A1129="","",IF(AND(E1129&lt;&gt;"33 確認済",E1129&lt;&gt;"36 送付中"),1,0))</f>
        <v/>
      </c>
      <c r="AO1129" s="7" t="str">
        <f aca="false">IF(A1129="","",IF(AG1129&lt;&gt;"",1,0))</f>
        <v/>
      </c>
    </row>
    <row r="1130" customFormat="false" ht="15" hidden="false" customHeight="false" outlineLevel="0" collapsed="false">
      <c r="AL1130" s="7" t="str">
        <f aca="false">IF(A1130="","",IF(COUNTIF(A1130:A$2001,A1130)=1,1,0))</f>
        <v/>
      </c>
      <c r="AM1130" s="7" t="str">
        <f aca="true">IF(I1130="","",TODAY()-I1130)</f>
        <v/>
      </c>
      <c r="AN1130" s="7" t="str">
        <f aca="false">IF(A1130="","",IF(AND(E1130&lt;&gt;"33 確認済",E1130&lt;&gt;"36 送付中"),1,0))</f>
        <v/>
      </c>
      <c r="AO1130" s="7" t="str">
        <f aca="false">IF(A1130="","",IF(AG1130&lt;&gt;"",1,0))</f>
        <v/>
      </c>
    </row>
    <row r="1131" customFormat="false" ht="15" hidden="false" customHeight="false" outlineLevel="0" collapsed="false">
      <c r="AL1131" s="7" t="str">
        <f aca="false">IF(A1131="","",IF(COUNTIF(A1131:A$2001,A1131)=1,1,0))</f>
        <v/>
      </c>
      <c r="AM1131" s="7" t="str">
        <f aca="true">IF(I1131="","",TODAY()-I1131)</f>
        <v/>
      </c>
      <c r="AN1131" s="7" t="str">
        <f aca="false">IF(A1131="","",IF(AND(E1131&lt;&gt;"33 確認済",E1131&lt;&gt;"36 送付中"),1,0))</f>
        <v/>
      </c>
      <c r="AO1131" s="7" t="str">
        <f aca="false">IF(A1131="","",IF(AG1131&lt;&gt;"",1,0))</f>
        <v/>
      </c>
    </row>
    <row r="1132" customFormat="false" ht="15" hidden="false" customHeight="false" outlineLevel="0" collapsed="false">
      <c r="AL1132" s="7" t="str">
        <f aca="false">IF(A1132="","",IF(COUNTIF(A1132:A$2001,A1132)=1,1,0))</f>
        <v/>
      </c>
      <c r="AM1132" s="7" t="str">
        <f aca="true">IF(I1132="","",TODAY()-I1132)</f>
        <v/>
      </c>
      <c r="AN1132" s="7" t="str">
        <f aca="false">IF(A1132="","",IF(AND(E1132&lt;&gt;"33 確認済",E1132&lt;&gt;"36 送付中"),1,0))</f>
        <v/>
      </c>
      <c r="AO1132" s="7" t="str">
        <f aca="false">IF(A1132="","",IF(AG1132&lt;&gt;"",1,0))</f>
        <v/>
      </c>
    </row>
    <row r="1133" customFormat="false" ht="15" hidden="false" customHeight="false" outlineLevel="0" collapsed="false">
      <c r="AL1133" s="7" t="str">
        <f aca="false">IF(A1133="","",IF(COUNTIF(A1133:A$2001,A1133)=1,1,0))</f>
        <v/>
      </c>
      <c r="AM1133" s="7" t="str">
        <f aca="true">IF(I1133="","",TODAY()-I1133)</f>
        <v/>
      </c>
      <c r="AN1133" s="7" t="str">
        <f aca="false">IF(A1133="","",IF(AND(E1133&lt;&gt;"33 確認済",E1133&lt;&gt;"36 送付中"),1,0))</f>
        <v/>
      </c>
      <c r="AO1133" s="7" t="str">
        <f aca="false">IF(A1133="","",IF(AG1133&lt;&gt;"",1,0))</f>
        <v/>
      </c>
    </row>
    <row r="1134" customFormat="false" ht="15" hidden="false" customHeight="false" outlineLevel="0" collapsed="false">
      <c r="AL1134" s="7" t="str">
        <f aca="false">IF(A1134="","",IF(COUNTIF(A1134:A$2001,A1134)=1,1,0))</f>
        <v/>
      </c>
      <c r="AM1134" s="7" t="str">
        <f aca="true">IF(I1134="","",TODAY()-I1134)</f>
        <v/>
      </c>
      <c r="AN1134" s="7" t="str">
        <f aca="false">IF(A1134="","",IF(AND(E1134&lt;&gt;"33 確認済",E1134&lt;&gt;"36 送付中"),1,0))</f>
        <v/>
      </c>
      <c r="AO1134" s="7" t="str">
        <f aca="false">IF(A1134="","",IF(AG1134&lt;&gt;"",1,0))</f>
        <v/>
      </c>
    </row>
    <row r="1135" customFormat="false" ht="15" hidden="false" customHeight="false" outlineLevel="0" collapsed="false">
      <c r="AL1135" s="7" t="str">
        <f aca="false">IF(A1135="","",IF(COUNTIF(A1135:A$2001,A1135)=1,1,0))</f>
        <v/>
      </c>
      <c r="AM1135" s="7" t="str">
        <f aca="true">IF(I1135="","",TODAY()-I1135)</f>
        <v/>
      </c>
      <c r="AN1135" s="7" t="str">
        <f aca="false">IF(A1135="","",IF(AND(E1135&lt;&gt;"33 確認済",E1135&lt;&gt;"36 送付中"),1,0))</f>
        <v/>
      </c>
      <c r="AO1135" s="7" t="str">
        <f aca="false">IF(A1135="","",IF(AG1135&lt;&gt;"",1,0))</f>
        <v/>
      </c>
    </row>
    <row r="1136" customFormat="false" ht="15" hidden="false" customHeight="false" outlineLevel="0" collapsed="false">
      <c r="AL1136" s="7" t="str">
        <f aca="false">IF(A1136="","",IF(COUNTIF(A1136:A$2001,A1136)=1,1,0))</f>
        <v/>
      </c>
      <c r="AM1136" s="7" t="str">
        <f aca="true">IF(I1136="","",TODAY()-I1136)</f>
        <v/>
      </c>
      <c r="AN1136" s="7" t="str">
        <f aca="false">IF(A1136="","",IF(AND(E1136&lt;&gt;"33 確認済",E1136&lt;&gt;"36 送付中"),1,0))</f>
        <v/>
      </c>
      <c r="AO1136" s="7" t="str">
        <f aca="false">IF(A1136="","",IF(AG1136&lt;&gt;"",1,0))</f>
        <v/>
      </c>
    </row>
    <row r="1137" customFormat="false" ht="15" hidden="false" customHeight="false" outlineLevel="0" collapsed="false">
      <c r="AL1137" s="7" t="str">
        <f aca="false">IF(A1137="","",IF(COUNTIF(A1137:A$2001,A1137)=1,1,0))</f>
        <v/>
      </c>
      <c r="AM1137" s="7" t="str">
        <f aca="true">IF(I1137="","",TODAY()-I1137)</f>
        <v/>
      </c>
      <c r="AN1137" s="7" t="str">
        <f aca="false">IF(A1137="","",IF(AND(E1137&lt;&gt;"33 確認済",E1137&lt;&gt;"36 送付中"),1,0))</f>
        <v/>
      </c>
      <c r="AO1137" s="7" t="str">
        <f aca="false">IF(A1137="","",IF(AG1137&lt;&gt;"",1,0))</f>
        <v/>
      </c>
    </row>
    <row r="1138" customFormat="false" ht="15" hidden="false" customHeight="false" outlineLevel="0" collapsed="false">
      <c r="AL1138" s="7" t="str">
        <f aca="false">IF(A1138="","",IF(COUNTIF(A1138:A$2001,A1138)=1,1,0))</f>
        <v/>
      </c>
      <c r="AM1138" s="7" t="str">
        <f aca="true">IF(I1138="","",TODAY()-I1138)</f>
        <v/>
      </c>
      <c r="AN1138" s="7" t="str">
        <f aca="false">IF(A1138="","",IF(AND(E1138&lt;&gt;"33 確認済",E1138&lt;&gt;"36 送付中"),1,0))</f>
        <v/>
      </c>
      <c r="AO1138" s="7" t="str">
        <f aca="false">IF(A1138="","",IF(AG1138&lt;&gt;"",1,0))</f>
        <v/>
      </c>
    </row>
    <row r="1139" customFormat="false" ht="15" hidden="false" customHeight="false" outlineLevel="0" collapsed="false">
      <c r="AL1139" s="7" t="str">
        <f aca="false">IF(A1139="","",IF(COUNTIF(A1139:A$2001,A1139)=1,1,0))</f>
        <v/>
      </c>
      <c r="AM1139" s="7" t="str">
        <f aca="true">IF(I1139="","",TODAY()-I1139)</f>
        <v/>
      </c>
      <c r="AN1139" s="7" t="str">
        <f aca="false">IF(A1139="","",IF(AND(E1139&lt;&gt;"33 確認済",E1139&lt;&gt;"36 送付中"),1,0))</f>
        <v/>
      </c>
      <c r="AO1139" s="7" t="str">
        <f aca="false">IF(A1139="","",IF(AG1139&lt;&gt;"",1,0))</f>
        <v/>
      </c>
    </row>
    <row r="1140" customFormat="false" ht="15" hidden="false" customHeight="false" outlineLevel="0" collapsed="false">
      <c r="AL1140" s="7" t="str">
        <f aca="false">IF(A1140="","",IF(COUNTIF(A1140:A$2001,A1140)=1,1,0))</f>
        <v/>
      </c>
      <c r="AM1140" s="7" t="str">
        <f aca="true">IF(I1140="","",TODAY()-I1140)</f>
        <v/>
      </c>
      <c r="AN1140" s="7" t="str">
        <f aca="false">IF(A1140="","",IF(AND(E1140&lt;&gt;"33 確認済",E1140&lt;&gt;"36 送付中"),1,0))</f>
        <v/>
      </c>
      <c r="AO1140" s="7" t="str">
        <f aca="false">IF(A1140="","",IF(AG1140&lt;&gt;"",1,0))</f>
        <v/>
      </c>
    </row>
    <row r="1141" customFormat="false" ht="15" hidden="false" customHeight="false" outlineLevel="0" collapsed="false">
      <c r="AL1141" s="7" t="str">
        <f aca="false">IF(A1141="","",IF(COUNTIF(A1141:A$2001,A1141)=1,1,0))</f>
        <v/>
      </c>
      <c r="AM1141" s="7" t="str">
        <f aca="true">IF(I1141="","",TODAY()-I1141)</f>
        <v/>
      </c>
      <c r="AN1141" s="7" t="str">
        <f aca="false">IF(A1141="","",IF(AND(E1141&lt;&gt;"33 確認済",E1141&lt;&gt;"36 送付中"),1,0))</f>
        <v/>
      </c>
      <c r="AO1141" s="7" t="str">
        <f aca="false">IF(A1141="","",IF(AG1141&lt;&gt;"",1,0))</f>
        <v/>
      </c>
    </row>
    <row r="1142" customFormat="false" ht="15" hidden="false" customHeight="false" outlineLevel="0" collapsed="false">
      <c r="AL1142" s="7" t="str">
        <f aca="false">IF(A1142="","",IF(COUNTIF(A1142:A$2001,A1142)=1,1,0))</f>
        <v/>
      </c>
      <c r="AM1142" s="7" t="str">
        <f aca="true">IF(I1142="","",TODAY()-I1142)</f>
        <v/>
      </c>
      <c r="AN1142" s="7" t="str">
        <f aca="false">IF(A1142="","",IF(AND(E1142&lt;&gt;"33 確認済",E1142&lt;&gt;"36 送付中"),1,0))</f>
        <v/>
      </c>
      <c r="AO1142" s="7" t="str">
        <f aca="false">IF(A1142="","",IF(AG1142&lt;&gt;"",1,0))</f>
        <v/>
      </c>
    </row>
    <row r="1143" customFormat="false" ht="15" hidden="false" customHeight="false" outlineLevel="0" collapsed="false">
      <c r="AL1143" s="7" t="str">
        <f aca="false">IF(A1143="","",IF(COUNTIF(A1143:A$2001,A1143)=1,1,0))</f>
        <v/>
      </c>
      <c r="AM1143" s="7" t="str">
        <f aca="true">IF(I1143="","",TODAY()-I1143)</f>
        <v/>
      </c>
      <c r="AN1143" s="7" t="str">
        <f aca="false">IF(A1143="","",IF(AND(E1143&lt;&gt;"33 確認済",E1143&lt;&gt;"36 送付中"),1,0))</f>
        <v/>
      </c>
      <c r="AO1143" s="7" t="str">
        <f aca="false">IF(A1143="","",IF(AG1143&lt;&gt;"",1,0))</f>
        <v/>
      </c>
    </row>
    <row r="1144" customFormat="false" ht="15" hidden="false" customHeight="false" outlineLevel="0" collapsed="false">
      <c r="AL1144" s="7" t="str">
        <f aca="false">IF(A1144="","",IF(COUNTIF(A1144:A$2001,A1144)=1,1,0))</f>
        <v/>
      </c>
      <c r="AM1144" s="7" t="str">
        <f aca="true">IF(I1144="","",TODAY()-I1144)</f>
        <v/>
      </c>
      <c r="AN1144" s="7" t="str">
        <f aca="false">IF(A1144="","",IF(AND(E1144&lt;&gt;"33 確認済",E1144&lt;&gt;"36 送付中"),1,0))</f>
        <v/>
      </c>
      <c r="AO1144" s="7" t="str">
        <f aca="false">IF(A1144="","",IF(AG1144&lt;&gt;"",1,0))</f>
        <v/>
      </c>
    </row>
    <row r="1145" customFormat="false" ht="15" hidden="false" customHeight="false" outlineLevel="0" collapsed="false">
      <c r="AL1145" s="7" t="str">
        <f aca="false">IF(A1145="","",IF(COUNTIF(A1145:A$2001,A1145)=1,1,0))</f>
        <v/>
      </c>
      <c r="AM1145" s="7" t="str">
        <f aca="true">IF(I1145="","",TODAY()-I1145)</f>
        <v/>
      </c>
      <c r="AN1145" s="7" t="str">
        <f aca="false">IF(A1145="","",IF(AND(E1145&lt;&gt;"33 確認済",E1145&lt;&gt;"36 送付中"),1,0))</f>
        <v/>
      </c>
      <c r="AO1145" s="7" t="str">
        <f aca="false">IF(A1145="","",IF(AG1145&lt;&gt;"",1,0))</f>
        <v/>
      </c>
    </row>
    <row r="1146" customFormat="false" ht="15" hidden="false" customHeight="false" outlineLevel="0" collapsed="false">
      <c r="AL1146" s="7" t="str">
        <f aca="false">IF(A1146="","",IF(COUNTIF(A1146:A$2001,A1146)=1,1,0))</f>
        <v/>
      </c>
      <c r="AM1146" s="7" t="str">
        <f aca="true">IF(I1146="","",TODAY()-I1146)</f>
        <v/>
      </c>
      <c r="AN1146" s="7" t="str">
        <f aca="false">IF(A1146="","",IF(AND(E1146&lt;&gt;"33 確認済",E1146&lt;&gt;"36 送付中"),1,0))</f>
        <v/>
      </c>
      <c r="AO1146" s="7" t="str">
        <f aca="false">IF(A1146="","",IF(AG1146&lt;&gt;"",1,0))</f>
        <v/>
      </c>
    </row>
    <row r="1147" customFormat="false" ht="15" hidden="false" customHeight="false" outlineLevel="0" collapsed="false">
      <c r="AL1147" s="7" t="str">
        <f aca="false">IF(A1147="","",IF(COUNTIF(A1147:A$2001,A1147)=1,1,0))</f>
        <v/>
      </c>
      <c r="AM1147" s="7" t="str">
        <f aca="true">IF(I1147="","",TODAY()-I1147)</f>
        <v/>
      </c>
      <c r="AN1147" s="7" t="str">
        <f aca="false">IF(A1147="","",IF(AND(E1147&lt;&gt;"33 確認済",E1147&lt;&gt;"36 送付中"),1,0))</f>
        <v/>
      </c>
      <c r="AO1147" s="7" t="str">
        <f aca="false">IF(A1147="","",IF(AG1147&lt;&gt;"",1,0))</f>
        <v/>
      </c>
    </row>
    <row r="1148" customFormat="false" ht="15" hidden="false" customHeight="false" outlineLevel="0" collapsed="false">
      <c r="AL1148" s="7" t="str">
        <f aca="false">IF(A1148="","",IF(COUNTIF(A1148:A$2001,A1148)=1,1,0))</f>
        <v/>
      </c>
      <c r="AM1148" s="7" t="str">
        <f aca="true">IF(I1148="","",TODAY()-I1148)</f>
        <v/>
      </c>
      <c r="AN1148" s="7" t="str">
        <f aca="false">IF(A1148="","",IF(AND(E1148&lt;&gt;"33 確認済",E1148&lt;&gt;"36 送付中"),1,0))</f>
        <v/>
      </c>
      <c r="AO1148" s="7" t="str">
        <f aca="false">IF(A1148="","",IF(AG1148&lt;&gt;"",1,0))</f>
        <v/>
      </c>
    </row>
    <row r="1149" customFormat="false" ht="15" hidden="false" customHeight="false" outlineLevel="0" collapsed="false">
      <c r="AL1149" s="7" t="str">
        <f aca="false">IF(A1149="","",IF(COUNTIF(A1149:A$2001,A1149)=1,1,0))</f>
        <v/>
      </c>
      <c r="AM1149" s="7" t="str">
        <f aca="true">IF(I1149="","",TODAY()-I1149)</f>
        <v/>
      </c>
      <c r="AN1149" s="7" t="str">
        <f aca="false">IF(A1149="","",IF(AND(E1149&lt;&gt;"33 確認済",E1149&lt;&gt;"36 送付中"),1,0))</f>
        <v/>
      </c>
      <c r="AO1149" s="7" t="str">
        <f aca="false">IF(A1149="","",IF(AG1149&lt;&gt;"",1,0))</f>
        <v/>
      </c>
    </row>
    <row r="1150" customFormat="false" ht="15" hidden="false" customHeight="false" outlineLevel="0" collapsed="false">
      <c r="AL1150" s="7" t="str">
        <f aca="false">IF(A1150="","",IF(COUNTIF(A1150:A$2001,A1150)=1,1,0))</f>
        <v/>
      </c>
      <c r="AM1150" s="7" t="str">
        <f aca="true">IF(I1150="","",TODAY()-I1150)</f>
        <v/>
      </c>
      <c r="AN1150" s="7" t="str">
        <f aca="false">IF(A1150="","",IF(AND(E1150&lt;&gt;"33 確認済",E1150&lt;&gt;"36 送付中"),1,0))</f>
        <v/>
      </c>
      <c r="AO1150" s="7" t="str">
        <f aca="false">IF(A1150="","",IF(AG1150&lt;&gt;"",1,0))</f>
        <v/>
      </c>
    </row>
    <row r="1151" customFormat="false" ht="15" hidden="false" customHeight="false" outlineLevel="0" collapsed="false">
      <c r="AL1151" s="7" t="str">
        <f aca="false">IF(A1151="","",IF(COUNTIF(A1151:A$2001,A1151)=1,1,0))</f>
        <v/>
      </c>
      <c r="AM1151" s="7" t="str">
        <f aca="true">IF(I1151="","",TODAY()-I1151)</f>
        <v/>
      </c>
      <c r="AN1151" s="7" t="str">
        <f aca="false">IF(A1151="","",IF(AND(E1151&lt;&gt;"33 確認済",E1151&lt;&gt;"36 送付中"),1,0))</f>
        <v/>
      </c>
      <c r="AO1151" s="7" t="str">
        <f aca="false">IF(A1151="","",IF(AG1151&lt;&gt;"",1,0))</f>
        <v/>
      </c>
    </row>
    <row r="1152" customFormat="false" ht="15" hidden="false" customHeight="false" outlineLevel="0" collapsed="false">
      <c r="AL1152" s="7" t="str">
        <f aca="false">IF(A1152="","",IF(COUNTIF(A1152:A$2001,A1152)=1,1,0))</f>
        <v/>
      </c>
      <c r="AM1152" s="7" t="str">
        <f aca="true">IF(I1152="","",TODAY()-I1152)</f>
        <v/>
      </c>
      <c r="AN1152" s="7" t="str">
        <f aca="false">IF(A1152="","",IF(AND(E1152&lt;&gt;"33 確認済",E1152&lt;&gt;"36 送付中"),1,0))</f>
        <v/>
      </c>
      <c r="AO1152" s="7" t="str">
        <f aca="false">IF(A1152="","",IF(AG1152&lt;&gt;"",1,0))</f>
        <v/>
      </c>
    </row>
    <row r="1153" customFormat="false" ht="15" hidden="false" customHeight="false" outlineLevel="0" collapsed="false">
      <c r="AL1153" s="7" t="str">
        <f aca="false">IF(A1153="","",IF(COUNTIF(A1153:A$2001,A1153)=1,1,0))</f>
        <v/>
      </c>
      <c r="AM1153" s="7" t="str">
        <f aca="true">IF(I1153="","",TODAY()-I1153)</f>
        <v/>
      </c>
      <c r="AN1153" s="7" t="str">
        <f aca="false">IF(A1153="","",IF(AND(E1153&lt;&gt;"33 確認済",E1153&lt;&gt;"36 送付中"),1,0))</f>
        <v/>
      </c>
      <c r="AO1153" s="7" t="str">
        <f aca="false">IF(A1153="","",IF(AG1153&lt;&gt;"",1,0))</f>
        <v/>
      </c>
    </row>
    <row r="1154" customFormat="false" ht="15" hidden="false" customHeight="false" outlineLevel="0" collapsed="false">
      <c r="AL1154" s="7" t="str">
        <f aca="false">IF(A1154="","",IF(COUNTIF(A1154:A$2001,A1154)=1,1,0))</f>
        <v/>
      </c>
      <c r="AM1154" s="7" t="str">
        <f aca="true">IF(I1154="","",TODAY()-I1154)</f>
        <v/>
      </c>
      <c r="AN1154" s="7" t="str">
        <f aca="false">IF(A1154="","",IF(AND(E1154&lt;&gt;"33 確認済",E1154&lt;&gt;"36 送付中"),1,0))</f>
        <v/>
      </c>
      <c r="AO1154" s="7" t="str">
        <f aca="false">IF(A1154="","",IF(AG1154&lt;&gt;"",1,0))</f>
        <v/>
      </c>
    </row>
    <row r="1155" customFormat="false" ht="15" hidden="false" customHeight="false" outlineLevel="0" collapsed="false">
      <c r="AL1155" s="7" t="str">
        <f aca="false">IF(A1155="","",IF(COUNTIF(A1155:A$2001,A1155)=1,1,0))</f>
        <v/>
      </c>
      <c r="AM1155" s="7" t="str">
        <f aca="true">IF(I1155="","",TODAY()-I1155)</f>
        <v/>
      </c>
      <c r="AN1155" s="7" t="str">
        <f aca="false">IF(A1155="","",IF(AND(E1155&lt;&gt;"33 確認済",E1155&lt;&gt;"36 送付中"),1,0))</f>
        <v/>
      </c>
      <c r="AO1155" s="7" t="str">
        <f aca="false">IF(A1155="","",IF(AG1155&lt;&gt;"",1,0))</f>
        <v/>
      </c>
    </row>
    <row r="1156" customFormat="false" ht="15" hidden="false" customHeight="false" outlineLevel="0" collapsed="false">
      <c r="AL1156" s="7" t="str">
        <f aca="false">IF(A1156="","",IF(COUNTIF(A1156:A$2001,A1156)=1,1,0))</f>
        <v/>
      </c>
      <c r="AM1156" s="7" t="str">
        <f aca="true">IF(I1156="","",TODAY()-I1156)</f>
        <v/>
      </c>
      <c r="AN1156" s="7" t="str">
        <f aca="false">IF(A1156="","",IF(AND(E1156&lt;&gt;"33 確認済",E1156&lt;&gt;"36 送付中"),1,0))</f>
        <v/>
      </c>
      <c r="AO1156" s="7" t="str">
        <f aca="false">IF(A1156="","",IF(AG1156&lt;&gt;"",1,0))</f>
        <v/>
      </c>
    </row>
    <row r="1157" customFormat="false" ht="15" hidden="false" customHeight="false" outlineLevel="0" collapsed="false">
      <c r="AL1157" s="7" t="str">
        <f aca="false">IF(A1157="","",IF(COUNTIF(A1157:A$2001,A1157)=1,1,0))</f>
        <v/>
      </c>
      <c r="AM1157" s="7" t="str">
        <f aca="true">IF(I1157="","",TODAY()-I1157)</f>
        <v/>
      </c>
      <c r="AN1157" s="7" t="str">
        <f aca="false">IF(A1157="","",IF(AND(E1157&lt;&gt;"33 確認済",E1157&lt;&gt;"36 送付中"),1,0))</f>
        <v/>
      </c>
      <c r="AO1157" s="7" t="str">
        <f aca="false">IF(A1157="","",IF(AG1157&lt;&gt;"",1,0))</f>
        <v/>
      </c>
    </row>
    <row r="1158" customFormat="false" ht="15" hidden="false" customHeight="false" outlineLevel="0" collapsed="false">
      <c r="AL1158" s="7" t="str">
        <f aca="false">IF(A1158="","",IF(COUNTIF(A1158:A$2001,A1158)=1,1,0))</f>
        <v/>
      </c>
      <c r="AM1158" s="7" t="str">
        <f aca="true">IF(I1158="","",TODAY()-I1158)</f>
        <v/>
      </c>
      <c r="AN1158" s="7" t="str">
        <f aca="false">IF(A1158="","",IF(AND(E1158&lt;&gt;"33 確認済",E1158&lt;&gt;"36 送付中"),1,0))</f>
        <v/>
      </c>
      <c r="AO1158" s="7" t="str">
        <f aca="false">IF(A1158="","",IF(AG1158&lt;&gt;"",1,0))</f>
        <v/>
      </c>
    </row>
    <row r="1159" customFormat="false" ht="15" hidden="false" customHeight="false" outlineLevel="0" collapsed="false">
      <c r="AL1159" s="7" t="str">
        <f aca="false">IF(A1159="","",IF(COUNTIF(A1159:A$2001,A1159)=1,1,0))</f>
        <v/>
      </c>
      <c r="AM1159" s="7" t="str">
        <f aca="true">IF(I1159="","",TODAY()-I1159)</f>
        <v/>
      </c>
      <c r="AN1159" s="7" t="str">
        <f aca="false">IF(A1159="","",IF(AND(E1159&lt;&gt;"33 確認済",E1159&lt;&gt;"36 送付中"),1,0))</f>
        <v/>
      </c>
      <c r="AO1159" s="7" t="str">
        <f aca="false">IF(A1159="","",IF(AG1159&lt;&gt;"",1,0))</f>
        <v/>
      </c>
    </row>
    <row r="1160" customFormat="false" ht="15" hidden="false" customHeight="false" outlineLevel="0" collapsed="false">
      <c r="AL1160" s="7" t="str">
        <f aca="false">IF(A1160="","",IF(COUNTIF(A1160:A$2001,A1160)=1,1,0))</f>
        <v/>
      </c>
      <c r="AM1160" s="7" t="str">
        <f aca="true">IF(I1160="","",TODAY()-I1160)</f>
        <v/>
      </c>
      <c r="AN1160" s="7" t="str">
        <f aca="false">IF(A1160="","",IF(AND(E1160&lt;&gt;"33 確認済",E1160&lt;&gt;"36 送付中"),1,0))</f>
        <v/>
      </c>
      <c r="AO1160" s="7" t="str">
        <f aca="false">IF(A1160="","",IF(AG1160&lt;&gt;"",1,0))</f>
        <v/>
      </c>
    </row>
    <row r="1161" customFormat="false" ht="15" hidden="false" customHeight="false" outlineLevel="0" collapsed="false">
      <c r="AL1161" s="7" t="str">
        <f aca="false">IF(A1161="","",IF(COUNTIF(A1161:A$2001,A1161)=1,1,0))</f>
        <v/>
      </c>
      <c r="AM1161" s="7" t="str">
        <f aca="true">IF(I1161="","",TODAY()-I1161)</f>
        <v/>
      </c>
      <c r="AN1161" s="7" t="str">
        <f aca="false">IF(A1161="","",IF(AND(E1161&lt;&gt;"33 確認済",E1161&lt;&gt;"36 送付中"),1,0))</f>
        <v/>
      </c>
      <c r="AO1161" s="7" t="str">
        <f aca="false">IF(A1161="","",IF(AG1161&lt;&gt;"",1,0))</f>
        <v/>
      </c>
    </row>
    <row r="1162" customFormat="false" ht="15" hidden="false" customHeight="false" outlineLevel="0" collapsed="false">
      <c r="AL1162" s="7" t="str">
        <f aca="false">IF(A1162="","",IF(COUNTIF(A1162:A$2001,A1162)=1,1,0))</f>
        <v/>
      </c>
      <c r="AM1162" s="7" t="str">
        <f aca="true">IF(I1162="","",TODAY()-I1162)</f>
        <v/>
      </c>
      <c r="AN1162" s="7" t="str">
        <f aca="false">IF(A1162="","",IF(AND(E1162&lt;&gt;"33 確認済",E1162&lt;&gt;"36 送付中"),1,0))</f>
        <v/>
      </c>
      <c r="AO1162" s="7" t="str">
        <f aca="false">IF(A1162="","",IF(AG1162&lt;&gt;"",1,0))</f>
        <v/>
      </c>
    </row>
    <row r="1163" customFormat="false" ht="15" hidden="false" customHeight="false" outlineLevel="0" collapsed="false">
      <c r="AL1163" s="7" t="str">
        <f aca="false">IF(A1163="","",IF(COUNTIF(A1163:A$2001,A1163)=1,1,0))</f>
        <v/>
      </c>
      <c r="AM1163" s="7" t="str">
        <f aca="true">IF(I1163="","",TODAY()-I1163)</f>
        <v/>
      </c>
      <c r="AN1163" s="7" t="str">
        <f aca="false">IF(A1163="","",IF(AND(E1163&lt;&gt;"33 確認済",E1163&lt;&gt;"36 送付中"),1,0))</f>
        <v/>
      </c>
      <c r="AO1163" s="7" t="str">
        <f aca="false">IF(A1163="","",IF(AG1163&lt;&gt;"",1,0))</f>
        <v/>
      </c>
    </row>
    <row r="1164" customFormat="false" ht="15" hidden="false" customHeight="false" outlineLevel="0" collapsed="false">
      <c r="AL1164" s="7" t="str">
        <f aca="false">IF(A1164="","",IF(COUNTIF(A1164:A$2001,A1164)=1,1,0))</f>
        <v/>
      </c>
      <c r="AM1164" s="7" t="str">
        <f aca="true">IF(I1164="","",TODAY()-I1164)</f>
        <v/>
      </c>
      <c r="AN1164" s="7" t="str">
        <f aca="false">IF(A1164="","",IF(AND(E1164&lt;&gt;"33 確認済",E1164&lt;&gt;"36 送付中"),1,0))</f>
        <v/>
      </c>
      <c r="AO1164" s="7" t="str">
        <f aca="false">IF(A1164="","",IF(AG1164&lt;&gt;"",1,0))</f>
        <v/>
      </c>
    </row>
    <row r="1165" customFormat="false" ht="15" hidden="false" customHeight="false" outlineLevel="0" collapsed="false">
      <c r="AL1165" s="7" t="str">
        <f aca="false">IF(A1165="","",IF(COUNTIF(A1165:A$2001,A1165)=1,1,0))</f>
        <v/>
      </c>
      <c r="AM1165" s="7" t="str">
        <f aca="true">IF(I1165="","",TODAY()-I1165)</f>
        <v/>
      </c>
      <c r="AN1165" s="7" t="str">
        <f aca="false">IF(A1165="","",IF(AND(E1165&lt;&gt;"33 確認済",E1165&lt;&gt;"36 送付中"),1,0))</f>
        <v/>
      </c>
      <c r="AO1165" s="7" t="str">
        <f aca="false">IF(A1165="","",IF(AG1165&lt;&gt;"",1,0))</f>
        <v/>
      </c>
    </row>
    <row r="1166" customFormat="false" ht="15" hidden="false" customHeight="false" outlineLevel="0" collapsed="false">
      <c r="AL1166" s="7" t="str">
        <f aca="false">IF(A1166="","",IF(COUNTIF(A1166:A$2001,A1166)=1,1,0))</f>
        <v/>
      </c>
      <c r="AM1166" s="7" t="str">
        <f aca="true">IF(I1166="","",TODAY()-I1166)</f>
        <v/>
      </c>
      <c r="AN1166" s="7" t="str">
        <f aca="false">IF(A1166="","",IF(AND(E1166&lt;&gt;"33 確認済",E1166&lt;&gt;"36 送付中"),1,0))</f>
        <v/>
      </c>
      <c r="AO1166" s="7" t="str">
        <f aca="false">IF(A1166="","",IF(AG1166&lt;&gt;"",1,0))</f>
        <v/>
      </c>
    </row>
    <row r="1167" customFormat="false" ht="15" hidden="false" customHeight="false" outlineLevel="0" collapsed="false">
      <c r="AL1167" s="7" t="str">
        <f aca="false">IF(A1167="","",IF(COUNTIF(A1167:A$2001,A1167)=1,1,0))</f>
        <v/>
      </c>
      <c r="AM1167" s="7" t="str">
        <f aca="true">IF(I1167="","",TODAY()-I1167)</f>
        <v/>
      </c>
      <c r="AN1167" s="7" t="str">
        <f aca="false">IF(A1167="","",IF(AND(E1167&lt;&gt;"33 確認済",E1167&lt;&gt;"36 送付中"),1,0))</f>
        <v/>
      </c>
      <c r="AO1167" s="7" t="str">
        <f aca="false">IF(A1167="","",IF(AG1167&lt;&gt;"",1,0))</f>
        <v/>
      </c>
    </row>
    <row r="1168" customFormat="false" ht="15" hidden="false" customHeight="false" outlineLevel="0" collapsed="false">
      <c r="AL1168" s="7" t="str">
        <f aca="false">IF(A1168="","",IF(COUNTIF(A1168:A$2001,A1168)=1,1,0))</f>
        <v/>
      </c>
      <c r="AM1168" s="7" t="str">
        <f aca="true">IF(I1168="","",TODAY()-I1168)</f>
        <v/>
      </c>
      <c r="AN1168" s="7" t="str">
        <f aca="false">IF(A1168="","",IF(AND(E1168&lt;&gt;"33 確認済",E1168&lt;&gt;"36 送付中"),1,0))</f>
        <v/>
      </c>
      <c r="AO1168" s="7" t="str">
        <f aca="false">IF(A1168="","",IF(AG1168&lt;&gt;"",1,0))</f>
        <v/>
      </c>
    </row>
    <row r="1169" customFormat="false" ht="15" hidden="false" customHeight="false" outlineLevel="0" collapsed="false">
      <c r="AL1169" s="7" t="str">
        <f aca="false">IF(A1169="","",IF(COUNTIF(A1169:A$2001,A1169)=1,1,0))</f>
        <v/>
      </c>
      <c r="AM1169" s="7" t="str">
        <f aca="true">IF(I1169="","",TODAY()-I1169)</f>
        <v/>
      </c>
      <c r="AN1169" s="7" t="str">
        <f aca="false">IF(A1169="","",IF(AND(E1169&lt;&gt;"33 確認済",E1169&lt;&gt;"36 送付中"),1,0))</f>
        <v/>
      </c>
      <c r="AO1169" s="7" t="str">
        <f aca="false">IF(A1169="","",IF(AG1169&lt;&gt;"",1,0))</f>
        <v/>
      </c>
    </row>
    <row r="1170" customFormat="false" ht="15" hidden="false" customHeight="false" outlineLevel="0" collapsed="false">
      <c r="AL1170" s="7" t="str">
        <f aca="false">IF(A1170="","",IF(COUNTIF(A1170:A$2001,A1170)=1,1,0))</f>
        <v/>
      </c>
      <c r="AM1170" s="7" t="str">
        <f aca="true">IF(I1170="","",TODAY()-I1170)</f>
        <v/>
      </c>
      <c r="AN1170" s="7" t="str">
        <f aca="false">IF(A1170="","",IF(AND(E1170&lt;&gt;"33 確認済",E1170&lt;&gt;"36 送付中"),1,0))</f>
        <v/>
      </c>
      <c r="AO1170" s="7" t="str">
        <f aca="false">IF(A1170="","",IF(AG1170&lt;&gt;"",1,0))</f>
        <v/>
      </c>
    </row>
    <row r="1171" customFormat="false" ht="15" hidden="false" customHeight="false" outlineLevel="0" collapsed="false">
      <c r="AL1171" s="7" t="str">
        <f aca="false">IF(A1171="","",IF(COUNTIF(A1171:A$2001,A1171)=1,1,0))</f>
        <v/>
      </c>
      <c r="AM1171" s="7" t="str">
        <f aca="true">IF(I1171="","",TODAY()-I1171)</f>
        <v/>
      </c>
      <c r="AN1171" s="7" t="str">
        <f aca="false">IF(A1171="","",IF(AND(E1171&lt;&gt;"33 確認済",E1171&lt;&gt;"36 送付中"),1,0))</f>
        <v/>
      </c>
      <c r="AO1171" s="7" t="str">
        <f aca="false">IF(A1171="","",IF(AG1171&lt;&gt;"",1,0))</f>
        <v/>
      </c>
    </row>
    <row r="1172" customFormat="false" ht="15" hidden="false" customHeight="false" outlineLevel="0" collapsed="false">
      <c r="AL1172" s="7" t="str">
        <f aca="false">IF(A1172="","",IF(COUNTIF(A1172:A$2001,A1172)=1,1,0))</f>
        <v/>
      </c>
      <c r="AM1172" s="7" t="str">
        <f aca="true">IF(I1172="","",TODAY()-I1172)</f>
        <v/>
      </c>
      <c r="AN1172" s="7" t="str">
        <f aca="false">IF(A1172="","",IF(AND(E1172&lt;&gt;"33 確認済",E1172&lt;&gt;"36 送付中"),1,0))</f>
        <v/>
      </c>
      <c r="AO1172" s="7" t="str">
        <f aca="false">IF(A1172="","",IF(AG1172&lt;&gt;"",1,0))</f>
        <v/>
      </c>
    </row>
    <row r="1173" customFormat="false" ht="15" hidden="false" customHeight="false" outlineLevel="0" collapsed="false">
      <c r="AL1173" s="7" t="str">
        <f aca="false">IF(A1173="","",IF(COUNTIF(A1173:A$2001,A1173)=1,1,0))</f>
        <v/>
      </c>
      <c r="AM1173" s="7" t="str">
        <f aca="true">IF(I1173="","",TODAY()-I1173)</f>
        <v/>
      </c>
      <c r="AN1173" s="7" t="str">
        <f aca="false">IF(A1173="","",IF(AND(E1173&lt;&gt;"33 確認済",E1173&lt;&gt;"36 送付中"),1,0))</f>
        <v/>
      </c>
      <c r="AO1173" s="7" t="str">
        <f aca="false">IF(A1173="","",IF(AG1173&lt;&gt;"",1,0))</f>
        <v/>
      </c>
    </row>
    <row r="1174" customFormat="false" ht="15" hidden="false" customHeight="false" outlineLevel="0" collapsed="false">
      <c r="AL1174" s="7" t="str">
        <f aca="false">IF(A1174="","",IF(COUNTIF(A1174:A$2001,A1174)=1,1,0))</f>
        <v/>
      </c>
      <c r="AM1174" s="7" t="str">
        <f aca="true">IF(I1174="","",TODAY()-I1174)</f>
        <v/>
      </c>
      <c r="AN1174" s="7" t="str">
        <f aca="false">IF(A1174="","",IF(AND(E1174&lt;&gt;"33 確認済",E1174&lt;&gt;"36 送付中"),1,0))</f>
        <v/>
      </c>
      <c r="AO1174" s="7" t="str">
        <f aca="false">IF(A1174="","",IF(AG1174&lt;&gt;"",1,0))</f>
        <v/>
      </c>
    </row>
    <row r="1175" customFormat="false" ht="15" hidden="false" customHeight="false" outlineLevel="0" collapsed="false">
      <c r="AL1175" s="7" t="str">
        <f aca="false">IF(A1175="","",IF(COUNTIF(A1175:A$2001,A1175)=1,1,0))</f>
        <v/>
      </c>
      <c r="AM1175" s="7" t="str">
        <f aca="true">IF(I1175="","",TODAY()-I1175)</f>
        <v/>
      </c>
      <c r="AN1175" s="7" t="str">
        <f aca="false">IF(A1175="","",IF(AND(E1175&lt;&gt;"33 確認済",E1175&lt;&gt;"36 送付中"),1,0))</f>
        <v/>
      </c>
      <c r="AO1175" s="7" t="str">
        <f aca="false">IF(A1175="","",IF(AG1175&lt;&gt;"",1,0))</f>
        <v/>
      </c>
    </row>
    <row r="1176" customFormat="false" ht="15" hidden="false" customHeight="false" outlineLevel="0" collapsed="false">
      <c r="AL1176" s="7" t="str">
        <f aca="false">IF(A1176="","",IF(COUNTIF(A1176:A$2001,A1176)=1,1,0))</f>
        <v/>
      </c>
      <c r="AM1176" s="7" t="str">
        <f aca="true">IF(I1176="","",TODAY()-I1176)</f>
        <v/>
      </c>
      <c r="AN1176" s="7" t="str">
        <f aca="false">IF(A1176="","",IF(AND(E1176&lt;&gt;"33 確認済",E1176&lt;&gt;"36 送付中"),1,0))</f>
        <v/>
      </c>
      <c r="AO1176" s="7" t="str">
        <f aca="false">IF(A1176="","",IF(AG1176&lt;&gt;"",1,0))</f>
        <v/>
      </c>
    </row>
    <row r="1177" customFormat="false" ht="15" hidden="false" customHeight="false" outlineLevel="0" collapsed="false">
      <c r="AL1177" s="7" t="str">
        <f aca="false">IF(A1177="","",IF(COUNTIF(A1177:A$2001,A1177)=1,1,0))</f>
        <v/>
      </c>
      <c r="AM1177" s="7" t="str">
        <f aca="true">IF(I1177="","",TODAY()-I1177)</f>
        <v/>
      </c>
      <c r="AN1177" s="7" t="str">
        <f aca="false">IF(A1177="","",IF(AND(E1177&lt;&gt;"33 確認済",E1177&lt;&gt;"36 送付中"),1,0))</f>
        <v/>
      </c>
      <c r="AO1177" s="7" t="str">
        <f aca="false">IF(A1177="","",IF(AG1177&lt;&gt;"",1,0))</f>
        <v/>
      </c>
    </row>
    <row r="1178" customFormat="false" ht="15" hidden="false" customHeight="false" outlineLevel="0" collapsed="false">
      <c r="AL1178" s="7" t="str">
        <f aca="false">IF(A1178="","",IF(COUNTIF(A1178:A$2001,A1178)=1,1,0))</f>
        <v/>
      </c>
      <c r="AM1178" s="7" t="str">
        <f aca="true">IF(I1178="","",TODAY()-I1178)</f>
        <v/>
      </c>
      <c r="AN1178" s="7" t="str">
        <f aca="false">IF(A1178="","",IF(AND(E1178&lt;&gt;"33 確認済",E1178&lt;&gt;"36 送付中"),1,0))</f>
        <v/>
      </c>
      <c r="AO1178" s="7" t="str">
        <f aca="false">IF(A1178="","",IF(AG1178&lt;&gt;"",1,0))</f>
        <v/>
      </c>
    </row>
    <row r="1179" customFormat="false" ht="15" hidden="false" customHeight="false" outlineLevel="0" collapsed="false">
      <c r="AL1179" s="7" t="str">
        <f aca="false">IF(A1179="","",IF(COUNTIF(A1179:A$2001,A1179)=1,1,0))</f>
        <v/>
      </c>
      <c r="AM1179" s="7" t="str">
        <f aca="true">IF(I1179="","",TODAY()-I1179)</f>
        <v/>
      </c>
      <c r="AN1179" s="7" t="str">
        <f aca="false">IF(A1179="","",IF(AND(E1179&lt;&gt;"33 確認済",E1179&lt;&gt;"36 送付中"),1,0))</f>
        <v/>
      </c>
      <c r="AO1179" s="7" t="str">
        <f aca="false">IF(A1179="","",IF(AG1179&lt;&gt;"",1,0))</f>
        <v/>
      </c>
    </row>
    <row r="1180" customFormat="false" ht="15" hidden="false" customHeight="false" outlineLevel="0" collapsed="false">
      <c r="AL1180" s="7" t="str">
        <f aca="false">IF(A1180="","",IF(COUNTIF(A1180:A$2001,A1180)=1,1,0))</f>
        <v/>
      </c>
      <c r="AM1180" s="7" t="str">
        <f aca="true">IF(I1180="","",TODAY()-I1180)</f>
        <v/>
      </c>
      <c r="AN1180" s="7" t="str">
        <f aca="false">IF(A1180="","",IF(AND(E1180&lt;&gt;"33 確認済",E1180&lt;&gt;"36 送付中"),1,0))</f>
        <v/>
      </c>
      <c r="AO1180" s="7" t="str">
        <f aca="false">IF(A1180="","",IF(AG1180&lt;&gt;"",1,0))</f>
        <v/>
      </c>
    </row>
    <row r="1181" customFormat="false" ht="15" hidden="false" customHeight="false" outlineLevel="0" collapsed="false">
      <c r="AL1181" s="7" t="str">
        <f aca="false">IF(A1181="","",IF(COUNTIF(A1181:A$2001,A1181)=1,1,0))</f>
        <v/>
      </c>
      <c r="AM1181" s="7" t="str">
        <f aca="true">IF(I1181="","",TODAY()-I1181)</f>
        <v/>
      </c>
      <c r="AN1181" s="7" t="str">
        <f aca="false">IF(A1181="","",IF(AND(E1181&lt;&gt;"33 確認済",E1181&lt;&gt;"36 送付中"),1,0))</f>
        <v/>
      </c>
      <c r="AO1181" s="7" t="str">
        <f aca="false">IF(A1181="","",IF(AG1181&lt;&gt;"",1,0))</f>
        <v/>
      </c>
    </row>
    <row r="1182" customFormat="false" ht="15" hidden="false" customHeight="false" outlineLevel="0" collapsed="false">
      <c r="AL1182" s="7" t="str">
        <f aca="false">IF(A1182="","",IF(COUNTIF(A1182:A$2001,A1182)=1,1,0))</f>
        <v/>
      </c>
      <c r="AM1182" s="7" t="str">
        <f aca="true">IF(I1182="","",TODAY()-I1182)</f>
        <v/>
      </c>
      <c r="AN1182" s="7" t="str">
        <f aca="false">IF(A1182="","",IF(AND(E1182&lt;&gt;"33 確認済",E1182&lt;&gt;"36 送付中"),1,0))</f>
        <v/>
      </c>
      <c r="AO1182" s="7" t="str">
        <f aca="false">IF(A1182="","",IF(AG1182&lt;&gt;"",1,0))</f>
        <v/>
      </c>
    </row>
    <row r="1183" customFormat="false" ht="15" hidden="false" customHeight="false" outlineLevel="0" collapsed="false">
      <c r="AL1183" s="7" t="str">
        <f aca="false">IF(A1183="","",IF(COUNTIF(A1183:A$2001,A1183)=1,1,0))</f>
        <v/>
      </c>
      <c r="AM1183" s="7" t="str">
        <f aca="true">IF(I1183="","",TODAY()-I1183)</f>
        <v/>
      </c>
      <c r="AN1183" s="7" t="str">
        <f aca="false">IF(A1183="","",IF(AND(E1183&lt;&gt;"33 確認済",E1183&lt;&gt;"36 送付中"),1,0))</f>
        <v/>
      </c>
      <c r="AO1183" s="7" t="str">
        <f aca="false">IF(A1183="","",IF(AG1183&lt;&gt;"",1,0))</f>
        <v/>
      </c>
    </row>
    <row r="1184" customFormat="false" ht="15" hidden="false" customHeight="false" outlineLevel="0" collapsed="false">
      <c r="AL1184" s="7" t="str">
        <f aca="false">IF(A1184="","",IF(COUNTIF(A1184:A$2001,A1184)=1,1,0))</f>
        <v/>
      </c>
      <c r="AM1184" s="7" t="str">
        <f aca="true">IF(I1184="","",TODAY()-I1184)</f>
        <v/>
      </c>
      <c r="AN1184" s="7" t="str">
        <f aca="false">IF(A1184="","",IF(AND(E1184&lt;&gt;"33 確認済",E1184&lt;&gt;"36 送付中"),1,0))</f>
        <v/>
      </c>
      <c r="AO1184" s="7" t="str">
        <f aca="false">IF(A1184="","",IF(AG1184&lt;&gt;"",1,0))</f>
        <v/>
      </c>
    </row>
    <row r="1185" customFormat="false" ht="15" hidden="false" customHeight="false" outlineLevel="0" collapsed="false">
      <c r="AL1185" s="7" t="str">
        <f aca="false">IF(A1185="","",IF(COUNTIF(A1185:A$2001,A1185)=1,1,0))</f>
        <v/>
      </c>
      <c r="AM1185" s="7" t="str">
        <f aca="true">IF(I1185="","",TODAY()-I1185)</f>
        <v/>
      </c>
      <c r="AN1185" s="7" t="str">
        <f aca="false">IF(A1185="","",IF(AND(E1185&lt;&gt;"33 確認済",E1185&lt;&gt;"36 送付中"),1,0))</f>
        <v/>
      </c>
      <c r="AO1185" s="7" t="str">
        <f aca="false">IF(A1185="","",IF(AG1185&lt;&gt;"",1,0))</f>
        <v/>
      </c>
    </row>
    <row r="1186" customFormat="false" ht="15" hidden="false" customHeight="false" outlineLevel="0" collapsed="false">
      <c r="AL1186" s="7" t="str">
        <f aca="false">IF(A1186="","",IF(COUNTIF(A1186:A$2001,A1186)=1,1,0))</f>
        <v/>
      </c>
      <c r="AM1186" s="7" t="str">
        <f aca="true">IF(I1186="","",TODAY()-I1186)</f>
        <v/>
      </c>
      <c r="AN1186" s="7" t="str">
        <f aca="false">IF(A1186="","",IF(AND(E1186&lt;&gt;"33 確認済",E1186&lt;&gt;"36 送付中"),1,0))</f>
        <v/>
      </c>
      <c r="AO1186" s="7" t="str">
        <f aca="false">IF(A1186="","",IF(AG1186&lt;&gt;"",1,0))</f>
        <v/>
      </c>
    </row>
    <row r="1187" customFormat="false" ht="15" hidden="false" customHeight="false" outlineLevel="0" collapsed="false">
      <c r="AL1187" s="7" t="str">
        <f aca="false">IF(A1187="","",IF(COUNTIF(A1187:A$2001,A1187)=1,1,0))</f>
        <v/>
      </c>
      <c r="AM1187" s="7" t="str">
        <f aca="true">IF(I1187="","",TODAY()-I1187)</f>
        <v/>
      </c>
      <c r="AN1187" s="7" t="str">
        <f aca="false">IF(A1187="","",IF(AND(E1187&lt;&gt;"33 確認済",E1187&lt;&gt;"36 送付中"),1,0))</f>
        <v/>
      </c>
      <c r="AO1187" s="7" t="str">
        <f aca="false">IF(A1187="","",IF(AG1187&lt;&gt;"",1,0))</f>
        <v/>
      </c>
    </row>
    <row r="1188" customFormat="false" ht="15" hidden="false" customHeight="false" outlineLevel="0" collapsed="false">
      <c r="AL1188" s="7" t="str">
        <f aca="false">IF(A1188="","",IF(COUNTIF(A1188:A$2001,A1188)=1,1,0))</f>
        <v/>
      </c>
      <c r="AM1188" s="7" t="str">
        <f aca="true">IF(I1188="","",TODAY()-I1188)</f>
        <v/>
      </c>
      <c r="AN1188" s="7" t="str">
        <f aca="false">IF(A1188="","",IF(AND(E1188&lt;&gt;"33 確認済",E1188&lt;&gt;"36 送付中"),1,0))</f>
        <v/>
      </c>
      <c r="AO1188" s="7" t="str">
        <f aca="false">IF(A1188="","",IF(AG1188&lt;&gt;"",1,0))</f>
        <v/>
      </c>
    </row>
    <row r="1189" customFormat="false" ht="15" hidden="false" customHeight="false" outlineLevel="0" collapsed="false">
      <c r="AL1189" s="7" t="str">
        <f aca="false">IF(A1189="","",IF(COUNTIF(A1189:A$2001,A1189)=1,1,0))</f>
        <v/>
      </c>
      <c r="AM1189" s="7" t="str">
        <f aca="true">IF(I1189="","",TODAY()-I1189)</f>
        <v/>
      </c>
      <c r="AN1189" s="7" t="str">
        <f aca="false">IF(A1189="","",IF(AND(E1189&lt;&gt;"33 確認済",E1189&lt;&gt;"36 送付中"),1,0))</f>
        <v/>
      </c>
      <c r="AO1189" s="7" t="str">
        <f aca="false">IF(A1189="","",IF(AG1189&lt;&gt;"",1,0))</f>
        <v/>
      </c>
    </row>
    <row r="1190" customFormat="false" ht="15" hidden="false" customHeight="false" outlineLevel="0" collapsed="false">
      <c r="AL1190" s="7" t="str">
        <f aca="false">IF(A1190="","",IF(COUNTIF(A1190:A$2001,A1190)=1,1,0))</f>
        <v/>
      </c>
      <c r="AM1190" s="7" t="str">
        <f aca="true">IF(I1190="","",TODAY()-I1190)</f>
        <v/>
      </c>
      <c r="AN1190" s="7" t="str">
        <f aca="false">IF(A1190="","",IF(AND(E1190&lt;&gt;"33 確認済",E1190&lt;&gt;"36 送付中"),1,0))</f>
        <v/>
      </c>
      <c r="AO1190" s="7" t="str">
        <f aca="false">IF(A1190="","",IF(AG1190&lt;&gt;"",1,0))</f>
        <v/>
      </c>
    </row>
    <row r="1191" customFormat="false" ht="15" hidden="false" customHeight="false" outlineLevel="0" collapsed="false">
      <c r="AL1191" s="7" t="str">
        <f aca="false">IF(A1191="","",IF(COUNTIF(A1191:A$2001,A1191)=1,1,0))</f>
        <v/>
      </c>
      <c r="AM1191" s="7" t="str">
        <f aca="true">IF(I1191="","",TODAY()-I1191)</f>
        <v/>
      </c>
      <c r="AN1191" s="7" t="str">
        <f aca="false">IF(A1191="","",IF(AND(E1191&lt;&gt;"33 確認済",E1191&lt;&gt;"36 送付中"),1,0))</f>
        <v/>
      </c>
      <c r="AO1191" s="7" t="str">
        <f aca="false">IF(A1191="","",IF(AG1191&lt;&gt;"",1,0))</f>
        <v/>
      </c>
    </row>
    <row r="1192" customFormat="false" ht="15" hidden="false" customHeight="false" outlineLevel="0" collapsed="false">
      <c r="AL1192" s="7" t="str">
        <f aca="false">IF(A1192="","",IF(COUNTIF(A1192:A$2001,A1192)=1,1,0))</f>
        <v/>
      </c>
      <c r="AM1192" s="7" t="str">
        <f aca="true">IF(I1192="","",TODAY()-I1192)</f>
        <v/>
      </c>
      <c r="AN1192" s="7" t="str">
        <f aca="false">IF(A1192="","",IF(AND(E1192&lt;&gt;"33 確認済",E1192&lt;&gt;"36 送付中"),1,0))</f>
        <v/>
      </c>
      <c r="AO1192" s="7" t="str">
        <f aca="false">IF(A1192="","",IF(AG1192&lt;&gt;"",1,0))</f>
        <v/>
      </c>
    </row>
    <row r="1193" customFormat="false" ht="15" hidden="false" customHeight="false" outlineLevel="0" collapsed="false">
      <c r="AL1193" s="7" t="str">
        <f aca="false">IF(A1193="","",IF(COUNTIF(A1193:A$2001,A1193)=1,1,0))</f>
        <v/>
      </c>
      <c r="AM1193" s="7" t="str">
        <f aca="true">IF(I1193="","",TODAY()-I1193)</f>
        <v/>
      </c>
      <c r="AN1193" s="7" t="str">
        <f aca="false">IF(A1193="","",IF(AND(E1193&lt;&gt;"33 確認済",E1193&lt;&gt;"36 送付中"),1,0))</f>
        <v/>
      </c>
      <c r="AO1193" s="7" t="str">
        <f aca="false">IF(A1193="","",IF(AG1193&lt;&gt;"",1,0))</f>
        <v/>
      </c>
    </row>
    <row r="1194" customFormat="false" ht="15" hidden="false" customHeight="false" outlineLevel="0" collapsed="false">
      <c r="AL1194" s="7" t="str">
        <f aca="false">IF(A1194="","",IF(COUNTIF(A1194:A$2001,A1194)=1,1,0))</f>
        <v/>
      </c>
      <c r="AM1194" s="7" t="str">
        <f aca="true">IF(I1194="","",TODAY()-I1194)</f>
        <v/>
      </c>
      <c r="AN1194" s="7" t="str">
        <f aca="false">IF(A1194="","",IF(AND(E1194&lt;&gt;"33 確認済",E1194&lt;&gt;"36 送付中"),1,0))</f>
        <v/>
      </c>
      <c r="AO1194" s="7" t="str">
        <f aca="false">IF(A1194="","",IF(AG1194&lt;&gt;"",1,0))</f>
        <v/>
      </c>
    </row>
    <row r="1195" customFormat="false" ht="15" hidden="false" customHeight="false" outlineLevel="0" collapsed="false">
      <c r="AL1195" s="7" t="str">
        <f aca="false">IF(A1195="","",IF(COUNTIF(A1195:A$2001,A1195)=1,1,0))</f>
        <v/>
      </c>
      <c r="AM1195" s="7" t="str">
        <f aca="true">IF(I1195="","",TODAY()-I1195)</f>
        <v/>
      </c>
      <c r="AN1195" s="7" t="str">
        <f aca="false">IF(A1195="","",IF(AND(E1195&lt;&gt;"33 確認済",E1195&lt;&gt;"36 送付中"),1,0))</f>
        <v/>
      </c>
      <c r="AO1195" s="7" t="str">
        <f aca="false">IF(A1195="","",IF(AG1195&lt;&gt;"",1,0))</f>
        <v/>
      </c>
    </row>
    <row r="1196" customFormat="false" ht="15" hidden="false" customHeight="false" outlineLevel="0" collapsed="false">
      <c r="AL1196" s="7" t="str">
        <f aca="false">IF(A1196="","",IF(COUNTIF(A1196:A$2001,A1196)=1,1,0))</f>
        <v/>
      </c>
      <c r="AM1196" s="7" t="str">
        <f aca="true">IF(I1196="","",TODAY()-I1196)</f>
        <v/>
      </c>
      <c r="AN1196" s="7" t="str">
        <f aca="false">IF(A1196="","",IF(AND(E1196&lt;&gt;"33 確認済",E1196&lt;&gt;"36 送付中"),1,0))</f>
        <v/>
      </c>
      <c r="AO1196" s="7" t="str">
        <f aca="false">IF(A1196="","",IF(AG1196&lt;&gt;"",1,0))</f>
        <v/>
      </c>
    </row>
    <row r="1197" customFormat="false" ht="15" hidden="false" customHeight="false" outlineLevel="0" collapsed="false">
      <c r="AL1197" s="7" t="str">
        <f aca="false">IF(A1197="","",IF(COUNTIF(A1197:A$2001,A1197)=1,1,0))</f>
        <v/>
      </c>
      <c r="AM1197" s="7" t="str">
        <f aca="true">IF(I1197="","",TODAY()-I1197)</f>
        <v/>
      </c>
      <c r="AN1197" s="7" t="str">
        <f aca="false">IF(A1197="","",IF(AND(E1197&lt;&gt;"33 確認済",E1197&lt;&gt;"36 送付中"),1,0))</f>
        <v/>
      </c>
      <c r="AO1197" s="7" t="str">
        <f aca="false">IF(A1197="","",IF(AG1197&lt;&gt;"",1,0))</f>
        <v/>
      </c>
    </row>
    <row r="1198" customFormat="false" ht="15" hidden="false" customHeight="false" outlineLevel="0" collapsed="false">
      <c r="AL1198" s="7" t="str">
        <f aca="false">IF(A1198="","",IF(COUNTIF(A1198:A$2001,A1198)=1,1,0))</f>
        <v/>
      </c>
      <c r="AM1198" s="7" t="str">
        <f aca="true">IF(I1198="","",TODAY()-I1198)</f>
        <v/>
      </c>
      <c r="AN1198" s="7" t="str">
        <f aca="false">IF(A1198="","",IF(AND(E1198&lt;&gt;"33 確認済",E1198&lt;&gt;"36 送付中"),1,0))</f>
        <v/>
      </c>
      <c r="AO1198" s="7" t="str">
        <f aca="false">IF(A1198="","",IF(AG1198&lt;&gt;"",1,0))</f>
        <v/>
      </c>
    </row>
    <row r="1199" customFormat="false" ht="15" hidden="false" customHeight="false" outlineLevel="0" collapsed="false">
      <c r="AL1199" s="7" t="str">
        <f aca="false">IF(A1199="","",IF(COUNTIF(A1199:A$2001,A1199)=1,1,0))</f>
        <v/>
      </c>
      <c r="AM1199" s="7" t="str">
        <f aca="true">IF(I1199="","",TODAY()-I1199)</f>
        <v/>
      </c>
      <c r="AN1199" s="7" t="str">
        <f aca="false">IF(A1199="","",IF(AND(E1199&lt;&gt;"33 確認済",E1199&lt;&gt;"36 送付中"),1,0))</f>
        <v/>
      </c>
      <c r="AO1199" s="7" t="str">
        <f aca="false">IF(A1199="","",IF(AG1199&lt;&gt;"",1,0))</f>
        <v/>
      </c>
    </row>
    <row r="1200" customFormat="false" ht="15" hidden="false" customHeight="false" outlineLevel="0" collapsed="false">
      <c r="AL1200" s="7" t="str">
        <f aca="false">IF(A1200="","",IF(COUNTIF(A1200:A$2001,A1200)=1,1,0))</f>
        <v/>
      </c>
      <c r="AM1200" s="7" t="str">
        <f aca="true">IF(I1200="","",TODAY()-I1200)</f>
        <v/>
      </c>
      <c r="AN1200" s="7" t="str">
        <f aca="false">IF(A1200="","",IF(AND(E1200&lt;&gt;"33 確認済",E1200&lt;&gt;"36 送付中"),1,0))</f>
        <v/>
      </c>
      <c r="AO1200" s="7" t="str">
        <f aca="false">IF(A1200="","",IF(AG1200&lt;&gt;"",1,0))</f>
        <v/>
      </c>
    </row>
    <row r="1201" customFormat="false" ht="15" hidden="false" customHeight="false" outlineLevel="0" collapsed="false">
      <c r="AL1201" s="7" t="str">
        <f aca="false">IF(A1201="","",IF(COUNTIF(A1201:A$2001,A1201)=1,1,0))</f>
        <v/>
      </c>
      <c r="AM1201" s="7" t="str">
        <f aca="true">IF(I1201="","",TODAY()-I1201)</f>
        <v/>
      </c>
      <c r="AN1201" s="7" t="str">
        <f aca="false">IF(A1201="","",IF(AND(E1201&lt;&gt;"33 確認済",E1201&lt;&gt;"36 送付中"),1,0))</f>
        <v/>
      </c>
      <c r="AO1201" s="7" t="str">
        <f aca="false">IF(A1201="","",IF(AG1201&lt;&gt;"",1,0))</f>
        <v/>
      </c>
    </row>
    <row r="1202" customFormat="false" ht="15" hidden="false" customHeight="false" outlineLevel="0" collapsed="false">
      <c r="AL1202" s="7" t="str">
        <f aca="false">IF(A1202="","",IF(COUNTIF(A1202:A$2001,A1202)=1,1,0))</f>
        <v/>
      </c>
      <c r="AM1202" s="7" t="str">
        <f aca="true">IF(I1202="","",TODAY()-I1202)</f>
        <v/>
      </c>
      <c r="AN1202" s="7" t="str">
        <f aca="false">IF(A1202="","",IF(AND(E1202&lt;&gt;"33 確認済",E1202&lt;&gt;"36 送付中"),1,0))</f>
        <v/>
      </c>
      <c r="AO1202" s="7" t="str">
        <f aca="false">IF(A1202="","",IF(AG1202&lt;&gt;"",1,0))</f>
        <v/>
      </c>
    </row>
    <row r="1203" customFormat="false" ht="15" hidden="false" customHeight="false" outlineLevel="0" collapsed="false">
      <c r="AL1203" s="7" t="str">
        <f aca="false">IF(A1203="","",IF(COUNTIF(A1203:A$2001,A1203)=1,1,0))</f>
        <v/>
      </c>
      <c r="AM1203" s="7" t="str">
        <f aca="true">IF(I1203="","",TODAY()-I1203)</f>
        <v/>
      </c>
      <c r="AN1203" s="7" t="str">
        <f aca="false">IF(A1203="","",IF(AND(E1203&lt;&gt;"33 確認済",E1203&lt;&gt;"36 送付中"),1,0))</f>
        <v/>
      </c>
      <c r="AO1203" s="7" t="str">
        <f aca="false">IF(A1203="","",IF(AG1203&lt;&gt;"",1,0))</f>
        <v/>
      </c>
    </row>
    <row r="1204" customFormat="false" ht="15" hidden="false" customHeight="false" outlineLevel="0" collapsed="false">
      <c r="AL1204" s="7" t="str">
        <f aca="false">IF(A1204="","",IF(COUNTIF(A1204:A$2001,A1204)=1,1,0))</f>
        <v/>
      </c>
      <c r="AM1204" s="7" t="str">
        <f aca="true">IF(I1204="","",TODAY()-I1204)</f>
        <v/>
      </c>
      <c r="AN1204" s="7" t="str">
        <f aca="false">IF(A1204="","",IF(AND(E1204&lt;&gt;"33 確認済",E1204&lt;&gt;"36 送付中"),1,0))</f>
        <v/>
      </c>
      <c r="AO1204" s="7" t="str">
        <f aca="false">IF(A1204="","",IF(AG1204&lt;&gt;"",1,0))</f>
        <v/>
      </c>
    </row>
    <row r="1205" customFormat="false" ht="15" hidden="false" customHeight="false" outlineLevel="0" collapsed="false">
      <c r="AL1205" s="7" t="str">
        <f aca="false">IF(A1205="","",IF(COUNTIF(A1205:A$2001,A1205)=1,1,0))</f>
        <v/>
      </c>
      <c r="AM1205" s="7" t="str">
        <f aca="true">IF(I1205="","",TODAY()-I1205)</f>
        <v/>
      </c>
      <c r="AN1205" s="7" t="str">
        <f aca="false">IF(A1205="","",IF(AND(E1205&lt;&gt;"33 確認済",E1205&lt;&gt;"36 送付中"),1,0))</f>
        <v/>
      </c>
      <c r="AO1205" s="7" t="str">
        <f aca="false">IF(A1205="","",IF(AG1205&lt;&gt;"",1,0))</f>
        <v/>
      </c>
    </row>
    <row r="1206" customFormat="false" ht="15" hidden="false" customHeight="false" outlineLevel="0" collapsed="false">
      <c r="AL1206" s="7" t="str">
        <f aca="false">IF(A1206="","",IF(COUNTIF(A1206:A$2001,A1206)=1,1,0))</f>
        <v/>
      </c>
      <c r="AM1206" s="7" t="str">
        <f aca="true">IF(I1206="","",TODAY()-I1206)</f>
        <v/>
      </c>
      <c r="AN1206" s="7" t="str">
        <f aca="false">IF(A1206="","",IF(AND(E1206&lt;&gt;"33 確認済",E1206&lt;&gt;"36 送付中"),1,0))</f>
        <v/>
      </c>
      <c r="AO1206" s="7" t="str">
        <f aca="false">IF(A1206="","",IF(AG1206&lt;&gt;"",1,0))</f>
        <v/>
      </c>
    </row>
    <row r="1207" customFormat="false" ht="15" hidden="false" customHeight="false" outlineLevel="0" collapsed="false">
      <c r="AL1207" s="7" t="str">
        <f aca="false">IF(A1207="","",IF(COUNTIF(A1207:A$2001,A1207)=1,1,0))</f>
        <v/>
      </c>
      <c r="AM1207" s="7" t="str">
        <f aca="true">IF(I1207="","",TODAY()-I1207)</f>
        <v/>
      </c>
      <c r="AN1207" s="7" t="str">
        <f aca="false">IF(A1207="","",IF(AND(E1207&lt;&gt;"33 確認済",E1207&lt;&gt;"36 送付中"),1,0))</f>
        <v/>
      </c>
      <c r="AO1207" s="7" t="str">
        <f aca="false">IF(A1207="","",IF(AG1207&lt;&gt;"",1,0))</f>
        <v/>
      </c>
    </row>
    <row r="1208" customFormat="false" ht="15" hidden="false" customHeight="false" outlineLevel="0" collapsed="false">
      <c r="AL1208" s="7" t="str">
        <f aca="false">IF(A1208="","",IF(COUNTIF(A1208:A$2001,A1208)=1,1,0))</f>
        <v/>
      </c>
      <c r="AM1208" s="7" t="str">
        <f aca="true">IF(I1208="","",TODAY()-I1208)</f>
        <v/>
      </c>
      <c r="AN1208" s="7" t="str">
        <f aca="false">IF(A1208="","",IF(AND(E1208&lt;&gt;"33 確認済",E1208&lt;&gt;"36 送付中"),1,0))</f>
        <v/>
      </c>
      <c r="AO1208" s="7" t="str">
        <f aca="false">IF(A1208="","",IF(AG1208&lt;&gt;"",1,0))</f>
        <v/>
      </c>
    </row>
    <row r="1209" customFormat="false" ht="15" hidden="false" customHeight="false" outlineLevel="0" collapsed="false">
      <c r="AL1209" s="7" t="str">
        <f aca="false">IF(A1209="","",IF(COUNTIF(A1209:A$2001,A1209)=1,1,0))</f>
        <v/>
      </c>
      <c r="AM1209" s="7" t="str">
        <f aca="true">IF(I1209="","",TODAY()-I1209)</f>
        <v/>
      </c>
      <c r="AN1209" s="7" t="str">
        <f aca="false">IF(A1209="","",IF(AND(E1209&lt;&gt;"33 確認済",E1209&lt;&gt;"36 送付中"),1,0))</f>
        <v/>
      </c>
      <c r="AO1209" s="7" t="str">
        <f aca="false">IF(A1209="","",IF(AG1209&lt;&gt;"",1,0))</f>
        <v/>
      </c>
    </row>
    <row r="1210" customFormat="false" ht="15" hidden="false" customHeight="false" outlineLevel="0" collapsed="false">
      <c r="AL1210" s="7" t="str">
        <f aca="false">IF(A1210="","",IF(COUNTIF(A1210:A$2001,A1210)=1,1,0))</f>
        <v/>
      </c>
      <c r="AM1210" s="7" t="str">
        <f aca="true">IF(I1210="","",TODAY()-I1210)</f>
        <v/>
      </c>
      <c r="AN1210" s="7" t="str">
        <f aca="false">IF(A1210="","",IF(AND(E1210&lt;&gt;"33 確認済",E1210&lt;&gt;"36 送付中"),1,0))</f>
        <v/>
      </c>
      <c r="AO1210" s="7" t="str">
        <f aca="false">IF(A1210="","",IF(AG1210&lt;&gt;"",1,0))</f>
        <v/>
      </c>
    </row>
    <row r="1211" customFormat="false" ht="15" hidden="false" customHeight="false" outlineLevel="0" collapsed="false">
      <c r="AL1211" s="7" t="str">
        <f aca="false">IF(A1211="","",IF(COUNTIF(A1211:A$2001,A1211)=1,1,0))</f>
        <v/>
      </c>
      <c r="AM1211" s="7" t="str">
        <f aca="true">IF(I1211="","",TODAY()-I1211)</f>
        <v/>
      </c>
      <c r="AN1211" s="7" t="str">
        <f aca="false">IF(A1211="","",IF(AND(E1211&lt;&gt;"33 確認済",E1211&lt;&gt;"36 送付中"),1,0))</f>
        <v/>
      </c>
      <c r="AO1211" s="7" t="str">
        <f aca="false">IF(A1211="","",IF(AG1211&lt;&gt;"",1,0))</f>
        <v/>
      </c>
    </row>
    <row r="1212" customFormat="false" ht="15" hidden="false" customHeight="false" outlineLevel="0" collapsed="false">
      <c r="AL1212" s="7" t="str">
        <f aca="false">IF(A1212="","",IF(COUNTIF(A1212:A$2001,A1212)=1,1,0))</f>
        <v/>
      </c>
      <c r="AM1212" s="7" t="str">
        <f aca="true">IF(I1212="","",TODAY()-I1212)</f>
        <v/>
      </c>
      <c r="AN1212" s="7" t="str">
        <f aca="false">IF(A1212="","",IF(AND(E1212&lt;&gt;"33 確認済",E1212&lt;&gt;"36 送付中"),1,0))</f>
        <v/>
      </c>
      <c r="AO1212" s="7" t="str">
        <f aca="false">IF(A1212="","",IF(AG1212&lt;&gt;"",1,0))</f>
        <v/>
      </c>
    </row>
    <row r="1213" customFormat="false" ht="15" hidden="false" customHeight="false" outlineLevel="0" collapsed="false">
      <c r="AL1213" s="7" t="str">
        <f aca="false">IF(A1213="","",IF(COUNTIF(A1213:A$2001,A1213)=1,1,0))</f>
        <v/>
      </c>
      <c r="AM1213" s="7" t="str">
        <f aca="true">IF(I1213="","",TODAY()-I1213)</f>
        <v/>
      </c>
      <c r="AN1213" s="7" t="str">
        <f aca="false">IF(A1213="","",IF(AND(E1213&lt;&gt;"33 確認済",E1213&lt;&gt;"36 送付中"),1,0))</f>
        <v/>
      </c>
      <c r="AO1213" s="7" t="str">
        <f aca="false">IF(A1213="","",IF(AG1213&lt;&gt;"",1,0))</f>
        <v/>
      </c>
    </row>
    <row r="1214" customFormat="false" ht="15" hidden="false" customHeight="false" outlineLevel="0" collapsed="false">
      <c r="AL1214" s="7" t="str">
        <f aca="false">IF(A1214="","",IF(COUNTIF(A1214:A$2001,A1214)=1,1,0))</f>
        <v/>
      </c>
      <c r="AM1214" s="7" t="str">
        <f aca="true">IF(I1214="","",TODAY()-I1214)</f>
        <v/>
      </c>
      <c r="AN1214" s="7" t="str">
        <f aca="false">IF(A1214="","",IF(AND(E1214&lt;&gt;"33 確認済",E1214&lt;&gt;"36 送付中"),1,0))</f>
        <v/>
      </c>
      <c r="AO1214" s="7" t="str">
        <f aca="false">IF(A1214="","",IF(AG1214&lt;&gt;"",1,0))</f>
        <v/>
      </c>
    </row>
    <row r="1215" customFormat="false" ht="15" hidden="false" customHeight="false" outlineLevel="0" collapsed="false">
      <c r="AL1215" s="7" t="str">
        <f aca="false">IF(A1215="","",IF(COUNTIF(A1215:A$2001,A1215)=1,1,0))</f>
        <v/>
      </c>
      <c r="AM1215" s="7" t="str">
        <f aca="true">IF(I1215="","",TODAY()-I1215)</f>
        <v/>
      </c>
      <c r="AN1215" s="7" t="str">
        <f aca="false">IF(A1215="","",IF(AND(E1215&lt;&gt;"33 確認済",E1215&lt;&gt;"36 送付中"),1,0))</f>
        <v/>
      </c>
      <c r="AO1215" s="7" t="str">
        <f aca="false">IF(A1215="","",IF(AG1215&lt;&gt;"",1,0))</f>
        <v/>
      </c>
    </row>
    <row r="1216" customFormat="false" ht="15" hidden="false" customHeight="false" outlineLevel="0" collapsed="false">
      <c r="AL1216" s="7" t="str">
        <f aca="false">IF(A1216="","",IF(COUNTIF(A1216:A$2001,A1216)=1,1,0))</f>
        <v/>
      </c>
      <c r="AM1216" s="7" t="str">
        <f aca="true">IF(I1216="","",TODAY()-I1216)</f>
        <v/>
      </c>
      <c r="AN1216" s="7" t="str">
        <f aca="false">IF(A1216="","",IF(AND(E1216&lt;&gt;"33 確認済",E1216&lt;&gt;"36 送付中"),1,0))</f>
        <v/>
      </c>
      <c r="AO1216" s="7" t="str">
        <f aca="false">IF(A1216="","",IF(AG1216&lt;&gt;"",1,0))</f>
        <v/>
      </c>
    </row>
    <row r="1217" customFormat="false" ht="15" hidden="false" customHeight="false" outlineLevel="0" collapsed="false">
      <c r="AL1217" s="7" t="str">
        <f aca="false">IF(A1217="","",IF(COUNTIF(A1217:A$2001,A1217)=1,1,0))</f>
        <v/>
      </c>
      <c r="AM1217" s="7" t="str">
        <f aca="true">IF(I1217="","",TODAY()-I1217)</f>
        <v/>
      </c>
      <c r="AN1217" s="7" t="str">
        <f aca="false">IF(A1217="","",IF(AND(E1217&lt;&gt;"33 確認済",E1217&lt;&gt;"36 送付中"),1,0))</f>
        <v/>
      </c>
      <c r="AO1217" s="7" t="str">
        <f aca="false">IF(A1217="","",IF(AG1217&lt;&gt;"",1,0))</f>
        <v/>
      </c>
    </row>
    <row r="1218" customFormat="false" ht="15" hidden="false" customHeight="false" outlineLevel="0" collapsed="false">
      <c r="AL1218" s="7" t="str">
        <f aca="false">IF(A1218="","",IF(COUNTIF(A1218:A$2001,A1218)=1,1,0))</f>
        <v/>
      </c>
      <c r="AM1218" s="7" t="str">
        <f aca="true">IF(I1218="","",TODAY()-I1218)</f>
        <v/>
      </c>
      <c r="AN1218" s="7" t="str">
        <f aca="false">IF(A1218="","",IF(AND(E1218&lt;&gt;"33 確認済",E1218&lt;&gt;"36 送付中"),1,0))</f>
        <v/>
      </c>
      <c r="AO1218" s="7" t="str">
        <f aca="false">IF(A1218="","",IF(AG1218&lt;&gt;"",1,0))</f>
        <v/>
      </c>
    </row>
    <row r="1219" customFormat="false" ht="15" hidden="false" customHeight="false" outlineLevel="0" collapsed="false">
      <c r="AL1219" s="7" t="str">
        <f aca="false">IF(A1219="","",IF(COUNTIF(A1219:A$2001,A1219)=1,1,0))</f>
        <v/>
      </c>
      <c r="AM1219" s="7" t="str">
        <f aca="true">IF(I1219="","",TODAY()-I1219)</f>
        <v/>
      </c>
      <c r="AN1219" s="7" t="str">
        <f aca="false">IF(A1219="","",IF(AND(E1219&lt;&gt;"33 確認済",E1219&lt;&gt;"36 送付中"),1,0))</f>
        <v/>
      </c>
      <c r="AO1219" s="7" t="str">
        <f aca="false">IF(A1219="","",IF(AG1219&lt;&gt;"",1,0))</f>
        <v/>
      </c>
    </row>
    <row r="1220" customFormat="false" ht="15" hidden="false" customHeight="false" outlineLevel="0" collapsed="false">
      <c r="AL1220" s="7" t="str">
        <f aca="false">IF(A1220="","",IF(COUNTIF(A1220:A$2001,A1220)=1,1,0))</f>
        <v/>
      </c>
      <c r="AM1220" s="7" t="str">
        <f aca="true">IF(I1220="","",TODAY()-I1220)</f>
        <v/>
      </c>
      <c r="AN1220" s="7" t="str">
        <f aca="false">IF(A1220="","",IF(AND(E1220&lt;&gt;"33 確認済",E1220&lt;&gt;"36 送付中"),1,0))</f>
        <v/>
      </c>
      <c r="AO1220" s="7" t="str">
        <f aca="false">IF(A1220="","",IF(AG1220&lt;&gt;"",1,0))</f>
        <v/>
      </c>
    </row>
    <row r="1221" customFormat="false" ht="15" hidden="false" customHeight="false" outlineLevel="0" collapsed="false">
      <c r="AL1221" s="7" t="str">
        <f aca="false">IF(A1221="","",IF(COUNTIF(A1221:A$2001,A1221)=1,1,0))</f>
        <v/>
      </c>
      <c r="AM1221" s="7" t="str">
        <f aca="true">IF(I1221="","",TODAY()-I1221)</f>
        <v/>
      </c>
      <c r="AN1221" s="7" t="str">
        <f aca="false">IF(A1221="","",IF(AND(E1221&lt;&gt;"33 確認済",E1221&lt;&gt;"36 送付中"),1,0))</f>
        <v/>
      </c>
      <c r="AO1221" s="7" t="str">
        <f aca="false">IF(A1221="","",IF(AG1221&lt;&gt;"",1,0))</f>
        <v/>
      </c>
    </row>
    <row r="1222" customFormat="false" ht="15" hidden="false" customHeight="false" outlineLevel="0" collapsed="false">
      <c r="AL1222" s="7" t="str">
        <f aca="false">IF(A1222="","",IF(COUNTIF(A1222:A$2001,A1222)=1,1,0))</f>
        <v/>
      </c>
      <c r="AM1222" s="7" t="str">
        <f aca="true">IF(I1222="","",TODAY()-I1222)</f>
        <v/>
      </c>
      <c r="AN1222" s="7" t="str">
        <f aca="false">IF(A1222="","",IF(AND(E1222&lt;&gt;"33 確認済",E1222&lt;&gt;"36 送付中"),1,0))</f>
        <v/>
      </c>
      <c r="AO1222" s="7" t="str">
        <f aca="false">IF(A1222="","",IF(AG1222&lt;&gt;"",1,0))</f>
        <v/>
      </c>
    </row>
    <row r="1223" customFormat="false" ht="15" hidden="false" customHeight="false" outlineLevel="0" collapsed="false">
      <c r="AL1223" s="7" t="str">
        <f aca="false">IF(A1223="","",IF(COUNTIF(A1223:A$2001,A1223)=1,1,0))</f>
        <v/>
      </c>
      <c r="AM1223" s="7" t="str">
        <f aca="true">IF(I1223="","",TODAY()-I1223)</f>
        <v/>
      </c>
      <c r="AN1223" s="7" t="str">
        <f aca="false">IF(A1223="","",IF(AND(E1223&lt;&gt;"33 確認済",E1223&lt;&gt;"36 送付中"),1,0))</f>
        <v/>
      </c>
      <c r="AO1223" s="7" t="str">
        <f aca="false">IF(A1223="","",IF(AG1223&lt;&gt;"",1,0))</f>
        <v/>
      </c>
    </row>
    <row r="1224" customFormat="false" ht="15" hidden="false" customHeight="false" outlineLevel="0" collapsed="false">
      <c r="AL1224" s="7" t="str">
        <f aca="false">IF(A1224="","",IF(COUNTIF(A1224:A$2001,A1224)=1,1,0))</f>
        <v/>
      </c>
      <c r="AM1224" s="7" t="str">
        <f aca="true">IF(I1224="","",TODAY()-I1224)</f>
        <v/>
      </c>
      <c r="AN1224" s="7" t="str">
        <f aca="false">IF(A1224="","",IF(AND(E1224&lt;&gt;"33 確認済",E1224&lt;&gt;"36 送付中"),1,0))</f>
        <v/>
      </c>
      <c r="AO1224" s="7" t="str">
        <f aca="false">IF(A1224="","",IF(AG1224&lt;&gt;"",1,0))</f>
        <v/>
      </c>
    </row>
    <row r="1225" customFormat="false" ht="15" hidden="false" customHeight="false" outlineLevel="0" collapsed="false">
      <c r="AL1225" s="7" t="str">
        <f aca="false">IF(A1225="","",IF(COUNTIF(A1225:A$2001,A1225)=1,1,0))</f>
        <v/>
      </c>
      <c r="AM1225" s="7" t="str">
        <f aca="true">IF(I1225="","",TODAY()-I1225)</f>
        <v/>
      </c>
      <c r="AN1225" s="7" t="str">
        <f aca="false">IF(A1225="","",IF(AND(E1225&lt;&gt;"33 確認済",E1225&lt;&gt;"36 送付中"),1,0))</f>
        <v/>
      </c>
      <c r="AO1225" s="7" t="str">
        <f aca="false">IF(A1225="","",IF(AG1225&lt;&gt;"",1,0))</f>
        <v/>
      </c>
    </row>
    <row r="1226" customFormat="false" ht="15" hidden="false" customHeight="false" outlineLevel="0" collapsed="false">
      <c r="AL1226" s="7" t="str">
        <f aca="false">IF(A1226="","",IF(COUNTIF(A1226:A$2001,A1226)=1,1,0))</f>
        <v/>
      </c>
      <c r="AM1226" s="7" t="str">
        <f aca="true">IF(I1226="","",TODAY()-I1226)</f>
        <v/>
      </c>
      <c r="AN1226" s="7" t="str">
        <f aca="false">IF(A1226="","",IF(AND(E1226&lt;&gt;"33 確認済",E1226&lt;&gt;"36 送付中"),1,0))</f>
        <v/>
      </c>
      <c r="AO1226" s="7" t="str">
        <f aca="false">IF(A1226="","",IF(AG1226&lt;&gt;"",1,0))</f>
        <v/>
      </c>
    </row>
    <row r="1227" customFormat="false" ht="15" hidden="false" customHeight="false" outlineLevel="0" collapsed="false">
      <c r="AL1227" s="7" t="str">
        <f aca="false">IF(A1227="","",IF(COUNTIF(A1227:A$2001,A1227)=1,1,0))</f>
        <v/>
      </c>
      <c r="AM1227" s="7" t="str">
        <f aca="true">IF(I1227="","",TODAY()-I1227)</f>
        <v/>
      </c>
      <c r="AN1227" s="7" t="str">
        <f aca="false">IF(A1227="","",IF(AND(E1227&lt;&gt;"33 確認済",E1227&lt;&gt;"36 送付中"),1,0))</f>
        <v/>
      </c>
      <c r="AO1227" s="7" t="str">
        <f aca="false">IF(A1227="","",IF(AG1227&lt;&gt;"",1,0))</f>
        <v/>
      </c>
    </row>
    <row r="1228" customFormat="false" ht="15" hidden="false" customHeight="false" outlineLevel="0" collapsed="false">
      <c r="AL1228" s="7" t="str">
        <f aca="false">IF(A1228="","",IF(COUNTIF(A1228:A$2001,A1228)=1,1,0))</f>
        <v/>
      </c>
      <c r="AM1228" s="7" t="str">
        <f aca="true">IF(I1228="","",TODAY()-I1228)</f>
        <v/>
      </c>
      <c r="AN1228" s="7" t="str">
        <f aca="false">IF(A1228="","",IF(AND(E1228&lt;&gt;"33 確認済",E1228&lt;&gt;"36 送付中"),1,0))</f>
        <v/>
      </c>
      <c r="AO1228" s="7" t="str">
        <f aca="false">IF(A1228="","",IF(AG1228&lt;&gt;"",1,0))</f>
        <v/>
      </c>
    </row>
    <row r="1229" customFormat="false" ht="15" hidden="false" customHeight="false" outlineLevel="0" collapsed="false">
      <c r="AL1229" s="7" t="str">
        <f aca="false">IF(A1229="","",IF(COUNTIF(A1229:A$2001,A1229)=1,1,0))</f>
        <v/>
      </c>
      <c r="AM1229" s="7" t="str">
        <f aca="true">IF(I1229="","",TODAY()-I1229)</f>
        <v/>
      </c>
      <c r="AN1229" s="7" t="str">
        <f aca="false">IF(A1229="","",IF(AND(E1229&lt;&gt;"33 確認済",E1229&lt;&gt;"36 送付中"),1,0))</f>
        <v/>
      </c>
      <c r="AO1229" s="7" t="str">
        <f aca="false">IF(A1229="","",IF(AG1229&lt;&gt;"",1,0))</f>
        <v/>
      </c>
    </row>
    <row r="1230" customFormat="false" ht="15" hidden="false" customHeight="false" outlineLevel="0" collapsed="false">
      <c r="AL1230" s="7" t="str">
        <f aca="false">IF(A1230="","",IF(COUNTIF(A1230:A$2001,A1230)=1,1,0))</f>
        <v/>
      </c>
      <c r="AM1230" s="7" t="str">
        <f aca="true">IF(I1230="","",TODAY()-I1230)</f>
        <v/>
      </c>
      <c r="AN1230" s="7" t="str">
        <f aca="false">IF(A1230="","",IF(AND(E1230&lt;&gt;"33 確認済",E1230&lt;&gt;"36 送付中"),1,0))</f>
        <v/>
      </c>
      <c r="AO1230" s="7" t="str">
        <f aca="false">IF(A1230="","",IF(AG1230&lt;&gt;"",1,0))</f>
        <v/>
      </c>
    </row>
    <row r="1231" customFormat="false" ht="15" hidden="false" customHeight="false" outlineLevel="0" collapsed="false">
      <c r="AL1231" s="7" t="str">
        <f aca="false">IF(A1231="","",IF(COUNTIF(A1231:A$2001,A1231)=1,1,0))</f>
        <v/>
      </c>
      <c r="AM1231" s="7" t="str">
        <f aca="true">IF(I1231="","",TODAY()-I1231)</f>
        <v/>
      </c>
      <c r="AN1231" s="7" t="str">
        <f aca="false">IF(A1231="","",IF(AND(E1231&lt;&gt;"33 確認済",E1231&lt;&gt;"36 送付中"),1,0))</f>
        <v/>
      </c>
      <c r="AO1231" s="7" t="str">
        <f aca="false">IF(A1231="","",IF(AG1231&lt;&gt;"",1,0))</f>
        <v/>
      </c>
    </row>
    <row r="1232" customFormat="false" ht="15" hidden="false" customHeight="false" outlineLevel="0" collapsed="false">
      <c r="AL1232" s="7" t="str">
        <f aca="false">IF(A1232="","",IF(COUNTIF(A1232:A$2001,A1232)=1,1,0))</f>
        <v/>
      </c>
      <c r="AM1232" s="7" t="str">
        <f aca="true">IF(I1232="","",TODAY()-I1232)</f>
        <v/>
      </c>
      <c r="AN1232" s="7" t="str">
        <f aca="false">IF(A1232="","",IF(AND(E1232&lt;&gt;"33 確認済",E1232&lt;&gt;"36 送付中"),1,0))</f>
        <v/>
      </c>
      <c r="AO1232" s="7" t="str">
        <f aca="false">IF(A1232="","",IF(AG1232&lt;&gt;"",1,0))</f>
        <v/>
      </c>
    </row>
    <row r="1233" customFormat="false" ht="15" hidden="false" customHeight="false" outlineLevel="0" collapsed="false">
      <c r="AL1233" s="7" t="str">
        <f aca="false">IF(A1233="","",IF(COUNTIF(A1233:A$2001,A1233)=1,1,0))</f>
        <v/>
      </c>
      <c r="AM1233" s="7" t="str">
        <f aca="true">IF(I1233="","",TODAY()-I1233)</f>
        <v/>
      </c>
      <c r="AN1233" s="7" t="str">
        <f aca="false">IF(A1233="","",IF(AND(E1233&lt;&gt;"33 確認済",E1233&lt;&gt;"36 送付中"),1,0))</f>
        <v/>
      </c>
      <c r="AO1233" s="7" t="str">
        <f aca="false">IF(A1233="","",IF(AG1233&lt;&gt;"",1,0))</f>
        <v/>
      </c>
    </row>
    <row r="1234" customFormat="false" ht="15" hidden="false" customHeight="false" outlineLevel="0" collapsed="false">
      <c r="AL1234" s="7" t="str">
        <f aca="false">IF(A1234="","",IF(COUNTIF(A1234:A$2001,A1234)=1,1,0))</f>
        <v/>
      </c>
      <c r="AM1234" s="7" t="str">
        <f aca="true">IF(I1234="","",TODAY()-I1234)</f>
        <v/>
      </c>
      <c r="AN1234" s="7" t="str">
        <f aca="false">IF(A1234="","",IF(AND(E1234&lt;&gt;"33 確認済",E1234&lt;&gt;"36 送付中"),1,0))</f>
        <v/>
      </c>
      <c r="AO1234" s="7" t="str">
        <f aca="false">IF(A1234="","",IF(AG1234&lt;&gt;"",1,0))</f>
        <v/>
      </c>
    </row>
    <row r="1235" customFormat="false" ht="15" hidden="false" customHeight="false" outlineLevel="0" collapsed="false">
      <c r="AL1235" s="7" t="str">
        <f aca="false">IF(A1235="","",IF(COUNTIF(A1235:A$2001,A1235)=1,1,0))</f>
        <v/>
      </c>
      <c r="AM1235" s="7" t="str">
        <f aca="true">IF(I1235="","",TODAY()-I1235)</f>
        <v/>
      </c>
      <c r="AN1235" s="7" t="str">
        <f aca="false">IF(A1235="","",IF(AND(E1235&lt;&gt;"33 確認済",E1235&lt;&gt;"36 送付中"),1,0))</f>
        <v/>
      </c>
      <c r="AO1235" s="7" t="str">
        <f aca="false">IF(A1235="","",IF(AG1235&lt;&gt;"",1,0))</f>
        <v/>
      </c>
    </row>
    <row r="1236" customFormat="false" ht="15" hidden="false" customHeight="false" outlineLevel="0" collapsed="false">
      <c r="AL1236" s="7" t="str">
        <f aca="false">IF(A1236="","",IF(COUNTIF(A1236:A$2001,A1236)=1,1,0))</f>
        <v/>
      </c>
      <c r="AM1236" s="7" t="str">
        <f aca="true">IF(I1236="","",TODAY()-I1236)</f>
        <v/>
      </c>
      <c r="AN1236" s="7" t="str">
        <f aca="false">IF(A1236="","",IF(AND(E1236&lt;&gt;"33 確認済",E1236&lt;&gt;"36 送付中"),1,0))</f>
        <v/>
      </c>
      <c r="AO1236" s="7" t="str">
        <f aca="false">IF(A1236="","",IF(AG1236&lt;&gt;"",1,0))</f>
        <v/>
      </c>
    </row>
    <row r="1237" customFormat="false" ht="15" hidden="false" customHeight="false" outlineLevel="0" collapsed="false">
      <c r="AL1237" s="7" t="str">
        <f aca="false">IF(A1237="","",IF(COUNTIF(A1237:A$2001,A1237)=1,1,0))</f>
        <v/>
      </c>
      <c r="AM1237" s="7" t="str">
        <f aca="true">IF(I1237="","",TODAY()-I1237)</f>
        <v/>
      </c>
      <c r="AN1237" s="7" t="str">
        <f aca="false">IF(A1237="","",IF(AND(E1237&lt;&gt;"33 確認済",E1237&lt;&gt;"36 送付中"),1,0))</f>
        <v/>
      </c>
      <c r="AO1237" s="7" t="str">
        <f aca="false">IF(A1237="","",IF(AG1237&lt;&gt;"",1,0))</f>
        <v/>
      </c>
    </row>
    <row r="1238" customFormat="false" ht="15" hidden="false" customHeight="false" outlineLevel="0" collapsed="false">
      <c r="AL1238" s="7" t="str">
        <f aca="false">IF(A1238="","",IF(COUNTIF(A1238:A$2001,A1238)=1,1,0))</f>
        <v/>
      </c>
      <c r="AM1238" s="7" t="str">
        <f aca="true">IF(I1238="","",TODAY()-I1238)</f>
        <v/>
      </c>
      <c r="AN1238" s="7" t="str">
        <f aca="false">IF(A1238="","",IF(AND(E1238&lt;&gt;"33 確認済",E1238&lt;&gt;"36 送付中"),1,0))</f>
        <v/>
      </c>
      <c r="AO1238" s="7" t="str">
        <f aca="false">IF(A1238="","",IF(AG1238&lt;&gt;"",1,0))</f>
        <v/>
      </c>
    </row>
    <row r="1239" customFormat="false" ht="15" hidden="false" customHeight="false" outlineLevel="0" collapsed="false">
      <c r="AL1239" s="7" t="str">
        <f aca="false">IF(A1239="","",IF(COUNTIF(A1239:A$2001,A1239)=1,1,0))</f>
        <v/>
      </c>
      <c r="AM1239" s="7" t="str">
        <f aca="true">IF(I1239="","",TODAY()-I1239)</f>
        <v/>
      </c>
      <c r="AN1239" s="7" t="str">
        <f aca="false">IF(A1239="","",IF(AND(E1239&lt;&gt;"33 確認済",E1239&lt;&gt;"36 送付中"),1,0))</f>
        <v/>
      </c>
      <c r="AO1239" s="7" t="str">
        <f aca="false">IF(A1239="","",IF(AG1239&lt;&gt;"",1,0))</f>
        <v/>
      </c>
    </row>
    <row r="1240" customFormat="false" ht="15" hidden="false" customHeight="false" outlineLevel="0" collapsed="false">
      <c r="AL1240" s="7" t="str">
        <f aca="false">IF(A1240="","",IF(COUNTIF(A1240:A$2001,A1240)=1,1,0))</f>
        <v/>
      </c>
      <c r="AM1240" s="7" t="str">
        <f aca="true">IF(I1240="","",TODAY()-I1240)</f>
        <v/>
      </c>
      <c r="AN1240" s="7" t="str">
        <f aca="false">IF(A1240="","",IF(AND(E1240&lt;&gt;"33 確認済",E1240&lt;&gt;"36 送付中"),1,0))</f>
        <v/>
      </c>
      <c r="AO1240" s="7" t="str">
        <f aca="false">IF(A1240="","",IF(AG1240&lt;&gt;"",1,0))</f>
        <v/>
      </c>
    </row>
    <row r="1241" customFormat="false" ht="15" hidden="false" customHeight="false" outlineLevel="0" collapsed="false">
      <c r="AL1241" s="7" t="str">
        <f aca="false">IF(A1241="","",IF(COUNTIF(A1241:A$2001,A1241)=1,1,0))</f>
        <v/>
      </c>
      <c r="AM1241" s="7" t="str">
        <f aca="true">IF(I1241="","",TODAY()-I1241)</f>
        <v/>
      </c>
      <c r="AN1241" s="7" t="str">
        <f aca="false">IF(A1241="","",IF(AND(E1241&lt;&gt;"33 確認済",E1241&lt;&gt;"36 送付中"),1,0))</f>
        <v/>
      </c>
      <c r="AO1241" s="7" t="str">
        <f aca="false">IF(A1241="","",IF(AG1241&lt;&gt;"",1,0))</f>
        <v/>
      </c>
    </row>
    <row r="1242" customFormat="false" ht="15" hidden="false" customHeight="false" outlineLevel="0" collapsed="false">
      <c r="AL1242" s="7" t="str">
        <f aca="false">IF(A1242="","",IF(COUNTIF(A1242:A$2001,A1242)=1,1,0))</f>
        <v/>
      </c>
      <c r="AM1242" s="7" t="str">
        <f aca="true">IF(I1242="","",TODAY()-I1242)</f>
        <v/>
      </c>
      <c r="AN1242" s="7" t="str">
        <f aca="false">IF(A1242="","",IF(AND(E1242&lt;&gt;"33 確認済",E1242&lt;&gt;"36 送付中"),1,0))</f>
        <v/>
      </c>
      <c r="AO1242" s="7" t="str">
        <f aca="false">IF(A1242="","",IF(AG1242&lt;&gt;"",1,0))</f>
        <v/>
      </c>
    </row>
    <row r="1243" customFormat="false" ht="15" hidden="false" customHeight="false" outlineLevel="0" collapsed="false">
      <c r="AL1243" s="7" t="str">
        <f aca="false">IF(A1243="","",IF(COUNTIF(A1243:A$2001,A1243)=1,1,0))</f>
        <v/>
      </c>
      <c r="AM1243" s="7" t="str">
        <f aca="true">IF(I1243="","",TODAY()-I1243)</f>
        <v/>
      </c>
      <c r="AN1243" s="7" t="str">
        <f aca="false">IF(A1243="","",IF(AND(E1243&lt;&gt;"33 確認済",E1243&lt;&gt;"36 送付中"),1,0))</f>
        <v/>
      </c>
      <c r="AO1243" s="7" t="str">
        <f aca="false">IF(A1243="","",IF(AG1243&lt;&gt;"",1,0))</f>
        <v/>
      </c>
    </row>
    <row r="1244" customFormat="false" ht="15" hidden="false" customHeight="false" outlineLevel="0" collapsed="false">
      <c r="AL1244" s="7" t="str">
        <f aca="false">IF(A1244="","",IF(COUNTIF(A1244:A$2001,A1244)=1,1,0))</f>
        <v/>
      </c>
      <c r="AM1244" s="7" t="str">
        <f aca="true">IF(I1244="","",TODAY()-I1244)</f>
        <v/>
      </c>
      <c r="AN1244" s="7" t="str">
        <f aca="false">IF(A1244="","",IF(AND(E1244&lt;&gt;"33 確認済",E1244&lt;&gt;"36 送付中"),1,0))</f>
        <v/>
      </c>
      <c r="AO1244" s="7" t="str">
        <f aca="false">IF(A1244="","",IF(AG1244&lt;&gt;"",1,0))</f>
        <v/>
      </c>
    </row>
    <row r="1245" customFormat="false" ht="15" hidden="false" customHeight="false" outlineLevel="0" collapsed="false">
      <c r="AL1245" s="7" t="str">
        <f aca="false">IF(A1245="","",IF(COUNTIF(A1245:A$2001,A1245)=1,1,0))</f>
        <v/>
      </c>
      <c r="AM1245" s="7" t="str">
        <f aca="true">IF(I1245="","",TODAY()-I1245)</f>
        <v/>
      </c>
      <c r="AN1245" s="7" t="str">
        <f aca="false">IF(A1245="","",IF(AND(E1245&lt;&gt;"33 確認済",E1245&lt;&gt;"36 送付中"),1,0))</f>
        <v/>
      </c>
      <c r="AO1245" s="7" t="str">
        <f aca="false">IF(A1245="","",IF(AG1245&lt;&gt;"",1,0))</f>
        <v/>
      </c>
    </row>
    <row r="1246" customFormat="false" ht="15" hidden="false" customHeight="false" outlineLevel="0" collapsed="false">
      <c r="AL1246" s="7" t="str">
        <f aca="false">IF(A1246="","",IF(COUNTIF(A1246:A$2001,A1246)=1,1,0))</f>
        <v/>
      </c>
      <c r="AM1246" s="7" t="str">
        <f aca="true">IF(I1246="","",TODAY()-I1246)</f>
        <v/>
      </c>
      <c r="AN1246" s="7" t="str">
        <f aca="false">IF(A1246="","",IF(AND(E1246&lt;&gt;"33 確認済",E1246&lt;&gt;"36 送付中"),1,0))</f>
        <v/>
      </c>
      <c r="AO1246" s="7" t="str">
        <f aca="false">IF(A1246="","",IF(AG1246&lt;&gt;"",1,0))</f>
        <v/>
      </c>
    </row>
    <row r="1247" customFormat="false" ht="15" hidden="false" customHeight="false" outlineLevel="0" collapsed="false">
      <c r="AL1247" s="7" t="str">
        <f aca="false">IF(A1247="","",IF(COUNTIF(A1247:A$2001,A1247)=1,1,0))</f>
        <v/>
      </c>
      <c r="AM1247" s="7" t="str">
        <f aca="true">IF(I1247="","",TODAY()-I1247)</f>
        <v/>
      </c>
      <c r="AN1247" s="7" t="str">
        <f aca="false">IF(A1247="","",IF(AND(E1247&lt;&gt;"33 確認済",E1247&lt;&gt;"36 送付中"),1,0))</f>
        <v/>
      </c>
      <c r="AO1247" s="7" t="str">
        <f aca="false">IF(A1247="","",IF(AG1247&lt;&gt;"",1,0))</f>
        <v/>
      </c>
    </row>
    <row r="1248" customFormat="false" ht="15" hidden="false" customHeight="false" outlineLevel="0" collapsed="false">
      <c r="AL1248" s="7" t="str">
        <f aca="false">IF(A1248="","",IF(COUNTIF(A1248:A$2001,A1248)=1,1,0))</f>
        <v/>
      </c>
      <c r="AM1248" s="7" t="str">
        <f aca="true">IF(I1248="","",TODAY()-I1248)</f>
        <v/>
      </c>
      <c r="AN1248" s="7" t="str">
        <f aca="false">IF(A1248="","",IF(AND(E1248&lt;&gt;"33 確認済",E1248&lt;&gt;"36 送付中"),1,0))</f>
        <v/>
      </c>
      <c r="AO1248" s="7" t="str">
        <f aca="false">IF(A1248="","",IF(AG1248&lt;&gt;"",1,0))</f>
        <v/>
      </c>
    </row>
    <row r="1249" customFormat="false" ht="15" hidden="false" customHeight="false" outlineLevel="0" collapsed="false">
      <c r="AL1249" s="7" t="str">
        <f aca="false">IF(A1249="","",IF(COUNTIF(A1249:A$2001,A1249)=1,1,0))</f>
        <v/>
      </c>
      <c r="AM1249" s="7" t="str">
        <f aca="true">IF(I1249="","",TODAY()-I1249)</f>
        <v/>
      </c>
      <c r="AN1249" s="7" t="str">
        <f aca="false">IF(A1249="","",IF(AND(E1249&lt;&gt;"33 確認済",E1249&lt;&gt;"36 送付中"),1,0))</f>
        <v/>
      </c>
      <c r="AO1249" s="7" t="str">
        <f aca="false">IF(A1249="","",IF(AG1249&lt;&gt;"",1,0))</f>
        <v/>
      </c>
    </row>
    <row r="1250" customFormat="false" ht="15" hidden="false" customHeight="false" outlineLevel="0" collapsed="false">
      <c r="AL1250" s="7" t="str">
        <f aca="false">IF(A1250="","",IF(COUNTIF(A1250:A$2001,A1250)=1,1,0))</f>
        <v/>
      </c>
      <c r="AM1250" s="7" t="str">
        <f aca="true">IF(I1250="","",TODAY()-I1250)</f>
        <v/>
      </c>
      <c r="AN1250" s="7" t="str">
        <f aca="false">IF(A1250="","",IF(AND(E1250&lt;&gt;"33 確認済",E1250&lt;&gt;"36 送付中"),1,0))</f>
        <v/>
      </c>
      <c r="AO1250" s="7" t="str">
        <f aca="false">IF(A1250="","",IF(AG1250&lt;&gt;"",1,0))</f>
        <v/>
      </c>
    </row>
    <row r="1251" customFormat="false" ht="15" hidden="false" customHeight="false" outlineLevel="0" collapsed="false">
      <c r="AL1251" s="7" t="str">
        <f aca="false">IF(A1251="","",IF(COUNTIF(A1251:A$2001,A1251)=1,1,0))</f>
        <v/>
      </c>
      <c r="AM1251" s="7" t="str">
        <f aca="true">IF(I1251="","",TODAY()-I1251)</f>
        <v/>
      </c>
      <c r="AN1251" s="7" t="str">
        <f aca="false">IF(A1251="","",IF(AND(E1251&lt;&gt;"33 確認済",E1251&lt;&gt;"36 送付中"),1,0))</f>
        <v/>
      </c>
      <c r="AO1251" s="7" t="str">
        <f aca="false">IF(A1251="","",IF(AG1251&lt;&gt;"",1,0))</f>
        <v/>
      </c>
    </row>
    <row r="1252" customFormat="false" ht="15" hidden="false" customHeight="false" outlineLevel="0" collapsed="false">
      <c r="AL1252" s="7" t="str">
        <f aca="false">IF(A1252="","",IF(COUNTIF(A1252:A$2001,A1252)=1,1,0))</f>
        <v/>
      </c>
      <c r="AM1252" s="7" t="str">
        <f aca="true">IF(I1252="","",TODAY()-I1252)</f>
        <v/>
      </c>
      <c r="AN1252" s="7" t="str">
        <f aca="false">IF(A1252="","",IF(AND(E1252&lt;&gt;"33 確認済",E1252&lt;&gt;"36 送付中"),1,0))</f>
        <v/>
      </c>
      <c r="AO1252" s="7" t="str">
        <f aca="false">IF(A1252="","",IF(AG1252&lt;&gt;"",1,0))</f>
        <v/>
      </c>
    </row>
    <row r="1253" customFormat="false" ht="15" hidden="false" customHeight="false" outlineLevel="0" collapsed="false">
      <c r="AL1253" s="7" t="str">
        <f aca="false">IF(A1253="","",IF(COUNTIF(A1253:A$2001,A1253)=1,1,0))</f>
        <v/>
      </c>
      <c r="AM1253" s="7" t="str">
        <f aca="true">IF(I1253="","",TODAY()-I1253)</f>
        <v/>
      </c>
      <c r="AN1253" s="7" t="str">
        <f aca="false">IF(A1253="","",IF(AND(E1253&lt;&gt;"33 確認済",E1253&lt;&gt;"36 送付中"),1,0))</f>
        <v/>
      </c>
      <c r="AO1253" s="7" t="str">
        <f aca="false">IF(A1253="","",IF(AG1253&lt;&gt;"",1,0))</f>
        <v/>
      </c>
    </row>
    <row r="1254" customFormat="false" ht="15" hidden="false" customHeight="false" outlineLevel="0" collapsed="false">
      <c r="AL1254" s="7" t="str">
        <f aca="false">IF(A1254="","",IF(COUNTIF(A1254:A$2001,A1254)=1,1,0))</f>
        <v/>
      </c>
      <c r="AM1254" s="7" t="str">
        <f aca="true">IF(I1254="","",TODAY()-I1254)</f>
        <v/>
      </c>
      <c r="AN1254" s="7" t="str">
        <f aca="false">IF(A1254="","",IF(AND(E1254&lt;&gt;"33 確認済",E1254&lt;&gt;"36 送付中"),1,0))</f>
        <v/>
      </c>
      <c r="AO1254" s="7" t="str">
        <f aca="false">IF(A1254="","",IF(AG1254&lt;&gt;"",1,0))</f>
        <v/>
      </c>
    </row>
    <row r="1255" customFormat="false" ht="15" hidden="false" customHeight="false" outlineLevel="0" collapsed="false">
      <c r="AL1255" s="7" t="str">
        <f aca="false">IF(A1255="","",IF(COUNTIF(A1255:A$2001,A1255)=1,1,0))</f>
        <v/>
      </c>
      <c r="AM1255" s="7" t="str">
        <f aca="true">IF(I1255="","",TODAY()-I1255)</f>
        <v/>
      </c>
      <c r="AN1255" s="7" t="str">
        <f aca="false">IF(A1255="","",IF(AND(E1255&lt;&gt;"33 確認済",E1255&lt;&gt;"36 送付中"),1,0))</f>
        <v/>
      </c>
      <c r="AO1255" s="7" t="str">
        <f aca="false">IF(A1255="","",IF(AG1255&lt;&gt;"",1,0))</f>
        <v/>
      </c>
    </row>
    <row r="1256" customFormat="false" ht="15" hidden="false" customHeight="false" outlineLevel="0" collapsed="false">
      <c r="AL1256" s="7" t="str">
        <f aca="false">IF(A1256="","",IF(COUNTIF(A1256:A$2001,A1256)=1,1,0))</f>
        <v/>
      </c>
      <c r="AM1256" s="7" t="str">
        <f aca="true">IF(I1256="","",TODAY()-I1256)</f>
        <v/>
      </c>
      <c r="AN1256" s="7" t="str">
        <f aca="false">IF(A1256="","",IF(AND(E1256&lt;&gt;"33 確認済",E1256&lt;&gt;"36 送付中"),1,0))</f>
        <v/>
      </c>
      <c r="AO1256" s="7" t="str">
        <f aca="false">IF(A1256="","",IF(AG1256&lt;&gt;"",1,0))</f>
        <v/>
      </c>
    </row>
    <row r="1257" customFormat="false" ht="15" hidden="false" customHeight="false" outlineLevel="0" collapsed="false">
      <c r="AL1257" s="7" t="str">
        <f aca="false">IF(A1257="","",IF(COUNTIF(A1257:A$2001,A1257)=1,1,0))</f>
        <v/>
      </c>
      <c r="AM1257" s="7" t="str">
        <f aca="true">IF(I1257="","",TODAY()-I1257)</f>
        <v/>
      </c>
      <c r="AN1257" s="7" t="str">
        <f aca="false">IF(A1257="","",IF(AND(E1257&lt;&gt;"33 確認済",E1257&lt;&gt;"36 送付中"),1,0))</f>
        <v/>
      </c>
      <c r="AO1257" s="7" t="str">
        <f aca="false">IF(A1257="","",IF(AG1257&lt;&gt;"",1,0))</f>
        <v/>
      </c>
    </row>
    <row r="1258" customFormat="false" ht="15" hidden="false" customHeight="false" outlineLevel="0" collapsed="false">
      <c r="AL1258" s="7" t="str">
        <f aca="false">IF(A1258="","",IF(COUNTIF(A1258:A$2001,A1258)=1,1,0))</f>
        <v/>
      </c>
      <c r="AM1258" s="7" t="str">
        <f aca="true">IF(I1258="","",TODAY()-I1258)</f>
        <v/>
      </c>
      <c r="AN1258" s="7" t="str">
        <f aca="false">IF(A1258="","",IF(AND(E1258&lt;&gt;"33 確認済",E1258&lt;&gt;"36 送付中"),1,0))</f>
        <v/>
      </c>
      <c r="AO1258" s="7" t="str">
        <f aca="false">IF(A1258="","",IF(AG1258&lt;&gt;"",1,0))</f>
        <v/>
      </c>
    </row>
    <row r="1259" customFormat="false" ht="15" hidden="false" customHeight="false" outlineLevel="0" collapsed="false">
      <c r="AL1259" s="7" t="str">
        <f aca="false">IF(A1259="","",IF(COUNTIF(A1259:A$2001,A1259)=1,1,0))</f>
        <v/>
      </c>
      <c r="AM1259" s="7" t="str">
        <f aca="true">IF(I1259="","",TODAY()-I1259)</f>
        <v/>
      </c>
      <c r="AN1259" s="7" t="str">
        <f aca="false">IF(A1259="","",IF(AND(E1259&lt;&gt;"33 確認済",E1259&lt;&gt;"36 送付中"),1,0))</f>
        <v/>
      </c>
      <c r="AO1259" s="7" t="str">
        <f aca="false">IF(A1259="","",IF(AG1259&lt;&gt;"",1,0))</f>
        <v/>
      </c>
    </row>
    <row r="1260" customFormat="false" ht="15" hidden="false" customHeight="false" outlineLevel="0" collapsed="false">
      <c r="AL1260" s="7" t="str">
        <f aca="false">IF(A1260="","",IF(COUNTIF(A1260:A$2001,A1260)=1,1,0))</f>
        <v/>
      </c>
      <c r="AM1260" s="7" t="str">
        <f aca="true">IF(I1260="","",TODAY()-I1260)</f>
        <v/>
      </c>
      <c r="AN1260" s="7" t="str">
        <f aca="false">IF(A1260="","",IF(AND(E1260&lt;&gt;"33 確認済",E1260&lt;&gt;"36 送付中"),1,0))</f>
        <v/>
      </c>
      <c r="AO1260" s="7" t="str">
        <f aca="false">IF(A1260="","",IF(AG1260&lt;&gt;"",1,0))</f>
        <v/>
      </c>
    </row>
    <row r="1261" customFormat="false" ht="15" hidden="false" customHeight="false" outlineLevel="0" collapsed="false">
      <c r="AL1261" s="7" t="str">
        <f aca="false">IF(A1261="","",IF(COUNTIF(A1261:A$2001,A1261)=1,1,0))</f>
        <v/>
      </c>
      <c r="AM1261" s="7" t="str">
        <f aca="true">IF(I1261="","",TODAY()-I1261)</f>
        <v/>
      </c>
      <c r="AN1261" s="7" t="str">
        <f aca="false">IF(A1261="","",IF(AND(E1261&lt;&gt;"33 確認済",E1261&lt;&gt;"36 送付中"),1,0))</f>
        <v/>
      </c>
      <c r="AO1261" s="7" t="str">
        <f aca="false">IF(A1261="","",IF(AG1261&lt;&gt;"",1,0))</f>
        <v/>
      </c>
    </row>
    <row r="1262" customFormat="false" ht="15" hidden="false" customHeight="false" outlineLevel="0" collapsed="false">
      <c r="AL1262" s="7" t="str">
        <f aca="false">IF(A1262="","",IF(COUNTIF(A1262:A$2001,A1262)=1,1,0))</f>
        <v/>
      </c>
      <c r="AM1262" s="7" t="str">
        <f aca="true">IF(I1262="","",TODAY()-I1262)</f>
        <v/>
      </c>
      <c r="AN1262" s="7" t="str">
        <f aca="false">IF(A1262="","",IF(AND(E1262&lt;&gt;"33 確認済",E1262&lt;&gt;"36 送付中"),1,0))</f>
        <v/>
      </c>
      <c r="AO1262" s="7" t="str">
        <f aca="false">IF(A1262="","",IF(AG1262&lt;&gt;"",1,0))</f>
        <v/>
      </c>
    </row>
    <row r="1263" customFormat="false" ht="15" hidden="false" customHeight="false" outlineLevel="0" collapsed="false">
      <c r="AL1263" s="7" t="str">
        <f aca="false">IF(A1263="","",IF(COUNTIF(A1263:A$2001,A1263)=1,1,0))</f>
        <v/>
      </c>
      <c r="AM1263" s="7" t="str">
        <f aca="true">IF(I1263="","",TODAY()-I1263)</f>
        <v/>
      </c>
      <c r="AN1263" s="7" t="str">
        <f aca="false">IF(A1263="","",IF(AND(E1263&lt;&gt;"33 確認済",E1263&lt;&gt;"36 送付中"),1,0))</f>
        <v/>
      </c>
      <c r="AO1263" s="7" t="str">
        <f aca="false">IF(A1263="","",IF(AG1263&lt;&gt;"",1,0))</f>
        <v/>
      </c>
    </row>
    <row r="1264" customFormat="false" ht="15" hidden="false" customHeight="false" outlineLevel="0" collapsed="false">
      <c r="AL1264" s="7" t="str">
        <f aca="false">IF(A1264="","",IF(COUNTIF(A1264:A$2001,A1264)=1,1,0))</f>
        <v/>
      </c>
      <c r="AM1264" s="7" t="str">
        <f aca="true">IF(I1264="","",TODAY()-I1264)</f>
        <v/>
      </c>
      <c r="AN1264" s="7" t="str">
        <f aca="false">IF(A1264="","",IF(AND(E1264&lt;&gt;"33 確認済",E1264&lt;&gt;"36 送付中"),1,0))</f>
        <v/>
      </c>
      <c r="AO1264" s="7" t="str">
        <f aca="false">IF(A1264="","",IF(AG1264&lt;&gt;"",1,0))</f>
        <v/>
      </c>
    </row>
    <row r="1265" customFormat="false" ht="15" hidden="false" customHeight="false" outlineLevel="0" collapsed="false">
      <c r="AL1265" s="7" t="str">
        <f aca="false">IF(A1265="","",IF(COUNTIF(A1265:A$2001,A1265)=1,1,0))</f>
        <v/>
      </c>
      <c r="AM1265" s="7" t="str">
        <f aca="true">IF(I1265="","",TODAY()-I1265)</f>
        <v/>
      </c>
      <c r="AN1265" s="7" t="str">
        <f aca="false">IF(A1265="","",IF(AND(E1265&lt;&gt;"33 確認済",E1265&lt;&gt;"36 送付中"),1,0))</f>
        <v/>
      </c>
      <c r="AO1265" s="7" t="str">
        <f aca="false">IF(A1265="","",IF(AG1265&lt;&gt;"",1,0))</f>
        <v/>
      </c>
    </row>
    <row r="1266" customFormat="false" ht="15" hidden="false" customHeight="false" outlineLevel="0" collapsed="false">
      <c r="AL1266" s="7" t="str">
        <f aca="false">IF(A1266="","",IF(COUNTIF(A1266:A$2001,A1266)=1,1,0))</f>
        <v/>
      </c>
      <c r="AM1266" s="7" t="str">
        <f aca="true">IF(I1266="","",TODAY()-I1266)</f>
        <v/>
      </c>
      <c r="AN1266" s="7" t="str">
        <f aca="false">IF(A1266="","",IF(AND(E1266&lt;&gt;"33 確認済",E1266&lt;&gt;"36 送付中"),1,0))</f>
        <v/>
      </c>
      <c r="AO1266" s="7" t="str">
        <f aca="false">IF(A1266="","",IF(AG1266&lt;&gt;"",1,0))</f>
        <v/>
      </c>
    </row>
    <row r="1267" customFormat="false" ht="15" hidden="false" customHeight="false" outlineLevel="0" collapsed="false">
      <c r="AL1267" s="7" t="str">
        <f aca="false">IF(A1267="","",IF(COUNTIF(A1267:A$2001,A1267)=1,1,0))</f>
        <v/>
      </c>
      <c r="AM1267" s="7" t="str">
        <f aca="true">IF(I1267="","",TODAY()-I1267)</f>
        <v/>
      </c>
      <c r="AN1267" s="7" t="str">
        <f aca="false">IF(A1267="","",IF(AND(E1267&lt;&gt;"33 確認済",E1267&lt;&gt;"36 送付中"),1,0))</f>
        <v/>
      </c>
      <c r="AO1267" s="7" t="str">
        <f aca="false">IF(A1267="","",IF(AG1267&lt;&gt;"",1,0))</f>
        <v/>
      </c>
    </row>
    <row r="1268" customFormat="false" ht="15" hidden="false" customHeight="false" outlineLevel="0" collapsed="false">
      <c r="AL1268" s="7" t="str">
        <f aca="false">IF(A1268="","",IF(COUNTIF(A1268:A$2001,A1268)=1,1,0))</f>
        <v/>
      </c>
      <c r="AM1268" s="7" t="str">
        <f aca="true">IF(I1268="","",TODAY()-I1268)</f>
        <v/>
      </c>
      <c r="AN1268" s="7" t="str">
        <f aca="false">IF(A1268="","",IF(AND(E1268&lt;&gt;"33 確認済",E1268&lt;&gt;"36 送付中"),1,0))</f>
        <v/>
      </c>
      <c r="AO1268" s="7" t="str">
        <f aca="false">IF(A1268="","",IF(AG1268&lt;&gt;"",1,0))</f>
        <v/>
      </c>
    </row>
    <row r="1269" customFormat="false" ht="15" hidden="false" customHeight="false" outlineLevel="0" collapsed="false">
      <c r="AL1269" s="7" t="str">
        <f aca="false">IF(A1269="","",IF(COUNTIF(A1269:A$2001,A1269)=1,1,0))</f>
        <v/>
      </c>
      <c r="AM1269" s="7" t="str">
        <f aca="true">IF(I1269="","",TODAY()-I1269)</f>
        <v/>
      </c>
      <c r="AN1269" s="7" t="str">
        <f aca="false">IF(A1269="","",IF(AND(E1269&lt;&gt;"33 確認済",E1269&lt;&gt;"36 送付中"),1,0))</f>
        <v/>
      </c>
      <c r="AO1269" s="7" t="str">
        <f aca="false">IF(A1269="","",IF(AG1269&lt;&gt;"",1,0))</f>
        <v/>
      </c>
    </row>
    <row r="1270" customFormat="false" ht="15" hidden="false" customHeight="false" outlineLevel="0" collapsed="false">
      <c r="AL1270" s="7" t="str">
        <f aca="false">IF(A1270="","",IF(COUNTIF(A1270:A$2001,A1270)=1,1,0))</f>
        <v/>
      </c>
      <c r="AM1270" s="7" t="str">
        <f aca="true">IF(I1270="","",TODAY()-I1270)</f>
        <v/>
      </c>
      <c r="AN1270" s="7" t="str">
        <f aca="false">IF(A1270="","",IF(AND(E1270&lt;&gt;"33 確認済",E1270&lt;&gt;"36 送付中"),1,0))</f>
        <v/>
      </c>
      <c r="AO1270" s="7" t="str">
        <f aca="false">IF(A1270="","",IF(AG1270&lt;&gt;"",1,0))</f>
        <v/>
      </c>
    </row>
    <row r="1271" customFormat="false" ht="15" hidden="false" customHeight="false" outlineLevel="0" collapsed="false">
      <c r="AL1271" s="7" t="str">
        <f aca="false">IF(A1271="","",IF(COUNTIF(A1271:A$2001,A1271)=1,1,0))</f>
        <v/>
      </c>
      <c r="AM1271" s="7" t="str">
        <f aca="true">IF(I1271="","",TODAY()-I1271)</f>
        <v/>
      </c>
      <c r="AN1271" s="7" t="str">
        <f aca="false">IF(A1271="","",IF(AND(E1271&lt;&gt;"33 確認済",E1271&lt;&gt;"36 送付中"),1,0))</f>
        <v/>
      </c>
      <c r="AO1271" s="7" t="str">
        <f aca="false">IF(A1271="","",IF(AG1271&lt;&gt;"",1,0))</f>
        <v/>
      </c>
    </row>
    <row r="1272" customFormat="false" ht="15" hidden="false" customHeight="false" outlineLevel="0" collapsed="false">
      <c r="AL1272" s="7" t="str">
        <f aca="false">IF(A1272="","",IF(COUNTIF(A1272:A$2001,A1272)=1,1,0))</f>
        <v/>
      </c>
      <c r="AM1272" s="7" t="str">
        <f aca="true">IF(I1272="","",TODAY()-I1272)</f>
        <v/>
      </c>
      <c r="AN1272" s="7" t="str">
        <f aca="false">IF(A1272="","",IF(AND(E1272&lt;&gt;"33 確認済",E1272&lt;&gt;"36 送付中"),1,0))</f>
        <v/>
      </c>
      <c r="AO1272" s="7" t="str">
        <f aca="false">IF(A1272="","",IF(AG1272&lt;&gt;"",1,0))</f>
        <v/>
      </c>
    </row>
    <row r="1273" customFormat="false" ht="15" hidden="false" customHeight="false" outlineLevel="0" collapsed="false">
      <c r="AL1273" s="7" t="str">
        <f aca="false">IF(A1273="","",IF(COUNTIF(A1273:A$2001,A1273)=1,1,0))</f>
        <v/>
      </c>
      <c r="AM1273" s="7" t="str">
        <f aca="true">IF(I1273="","",TODAY()-I1273)</f>
        <v/>
      </c>
      <c r="AN1273" s="7" t="str">
        <f aca="false">IF(A1273="","",IF(AND(E1273&lt;&gt;"33 確認済",E1273&lt;&gt;"36 送付中"),1,0))</f>
        <v/>
      </c>
      <c r="AO1273" s="7" t="str">
        <f aca="false">IF(A1273="","",IF(AG1273&lt;&gt;"",1,0))</f>
        <v/>
      </c>
    </row>
    <row r="1274" customFormat="false" ht="15" hidden="false" customHeight="false" outlineLevel="0" collapsed="false">
      <c r="AL1274" s="7" t="str">
        <f aca="false">IF(A1274="","",IF(COUNTIF(A1274:A$2001,A1274)=1,1,0))</f>
        <v/>
      </c>
      <c r="AM1274" s="7" t="str">
        <f aca="true">IF(I1274="","",TODAY()-I1274)</f>
        <v/>
      </c>
      <c r="AN1274" s="7" t="str">
        <f aca="false">IF(A1274="","",IF(AND(E1274&lt;&gt;"33 確認済",E1274&lt;&gt;"36 送付中"),1,0))</f>
        <v/>
      </c>
      <c r="AO1274" s="7" t="str">
        <f aca="false">IF(A1274="","",IF(AG1274&lt;&gt;"",1,0))</f>
        <v/>
      </c>
    </row>
    <row r="1275" customFormat="false" ht="15" hidden="false" customHeight="false" outlineLevel="0" collapsed="false">
      <c r="AL1275" s="7" t="str">
        <f aca="false">IF(A1275="","",IF(COUNTIF(A1275:A$2001,A1275)=1,1,0))</f>
        <v/>
      </c>
      <c r="AM1275" s="7" t="str">
        <f aca="true">IF(I1275="","",TODAY()-I1275)</f>
        <v/>
      </c>
      <c r="AN1275" s="7" t="str">
        <f aca="false">IF(A1275="","",IF(AND(E1275&lt;&gt;"33 確認済",E1275&lt;&gt;"36 送付中"),1,0))</f>
        <v/>
      </c>
      <c r="AO1275" s="7" t="str">
        <f aca="false">IF(A1275="","",IF(AG1275&lt;&gt;"",1,0))</f>
        <v/>
      </c>
    </row>
    <row r="1276" customFormat="false" ht="15" hidden="false" customHeight="false" outlineLevel="0" collapsed="false">
      <c r="AL1276" s="7" t="str">
        <f aca="false">IF(A1276="","",IF(COUNTIF(A1276:A$2001,A1276)=1,1,0))</f>
        <v/>
      </c>
      <c r="AM1276" s="7" t="str">
        <f aca="true">IF(I1276="","",TODAY()-I1276)</f>
        <v/>
      </c>
      <c r="AN1276" s="7" t="str">
        <f aca="false">IF(A1276="","",IF(AND(E1276&lt;&gt;"33 確認済",E1276&lt;&gt;"36 送付中"),1,0))</f>
        <v/>
      </c>
      <c r="AO1276" s="7" t="str">
        <f aca="false">IF(A1276="","",IF(AG1276&lt;&gt;"",1,0))</f>
        <v/>
      </c>
    </row>
    <row r="1277" customFormat="false" ht="15" hidden="false" customHeight="false" outlineLevel="0" collapsed="false">
      <c r="AL1277" s="7" t="str">
        <f aca="false">IF(A1277="","",IF(COUNTIF(A1277:A$2001,A1277)=1,1,0))</f>
        <v/>
      </c>
      <c r="AM1277" s="7" t="str">
        <f aca="true">IF(I1277="","",TODAY()-I1277)</f>
        <v/>
      </c>
      <c r="AN1277" s="7" t="str">
        <f aca="false">IF(A1277="","",IF(AND(E1277&lt;&gt;"33 確認済",E1277&lt;&gt;"36 送付中"),1,0))</f>
        <v/>
      </c>
      <c r="AO1277" s="7" t="str">
        <f aca="false">IF(A1277="","",IF(AG1277&lt;&gt;"",1,0))</f>
        <v/>
      </c>
    </row>
    <row r="1278" customFormat="false" ht="15" hidden="false" customHeight="false" outlineLevel="0" collapsed="false">
      <c r="AL1278" s="7" t="str">
        <f aca="false">IF(A1278="","",IF(COUNTIF(A1278:A$2001,A1278)=1,1,0))</f>
        <v/>
      </c>
      <c r="AM1278" s="7" t="str">
        <f aca="true">IF(I1278="","",TODAY()-I1278)</f>
        <v/>
      </c>
      <c r="AN1278" s="7" t="str">
        <f aca="false">IF(A1278="","",IF(AND(E1278&lt;&gt;"33 確認済",E1278&lt;&gt;"36 送付中"),1,0))</f>
        <v/>
      </c>
      <c r="AO1278" s="7" t="str">
        <f aca="false">IF(A1278="","",IF(AG1278&lt;&gt;"",1,0))</f>
        <v/>
      </c>
    </row>
    <row r="1279" customFormat="false" ht="15" hidden="false" customHeight="false" outlineLevel="0" collapsed="false">
      <c r="AL1279" s="7" t="str">
        <f aca="false">IF(A1279="","",IF(COUNTIF(A1279:A$2001,A1279)=1,1,0))</f>
        <v/>
      </c>
      <c r="AM1279" s="7" t="str">
        <f aca="true">IF(I1279="","",TODAY()-I1279)</f>
        <v/>
      </c>
      <c r="AN1279" s="7" t="str">
        <f aca="false">IF(A1279="","",IF(AND(E1279&lt;&gt;"33 確認済",E1279&lt;&gt;"36 送付中"),1,0))</f>
        <v/>
      </c>
      <c r="AO1279" s="7" t="str">
        <f aca="false">IF(A1279="","",IF(AG1279&lt;&gt;"",1,0))</f>
        <v/>
      </c>
    </row>
    <row r="1280" customFormat="false" ht="15" hidden="false" customHeight="false" outlineLevel="0" collapsed="false">
      <c r="AL1280" s="7" t="str">
        <f aca="false">IF(A1280="","",IF(COUNTIF(A1280:A$2001,A1280)=1,1,0))</f>
        <v/>
      </c>
      <c r="AM1280" s="7" t="str">
        <f aca="true">IF(I1280="","",TODAY()-I1280)</f>
        <v/>
      </c>
      <c r="AN1280" s="7" t="str">
        <f aca="false">IF(A1280="","",IF(AND(E1280&lt;&gt;"33 確認済",E1280&lt;&gt;"36 送付中"),1,0))</f>
        <v/>
      </c>
      <c r="AO1280" s="7" t="str">
        <f aca="false">IF(A1280="","",IF(AG1280&lt;&gt;"",1,0))</f>
        <v/>
      </c>
    </row>
    <row r="1281" customFormat="false" ht="15" hidden="false" customHeight="false" outlineLevel="0" collapsed="false">
      <c r="AL1281" s="7" t="str">
        <f aca="false">IF(A1281="","",IF(COUNTIF(A1281:A$2001,A1281)=1,1,0))</f>
        <v/>
      </c>
      <c r="AM1281" s="7" t="str">
        <f aca="true">IF(I1281="","",TODAY()-I1281)</f>
        <v/>
      </c>
      <c r="AN1281" s="7" t="str">
        <f aca="false">IF(A1281="","",IF(AND(E1281&lt;&gt;"33 確認済",E1281&lt;&gt;"36 送付中"),1,0))</f>
        <v/>
      </c>
      <c r="AO1281" s="7" t="str">
        <f aca="false">IF(A1281="","",IF(AG1281&lt;&gt;"",1,0))</f>
        <v/>
      </c>
    </row>
    <row r="1282" customFormat="false" ht="15" hidden="false" customHeight="false" outlineLevel="0" collapsed="false">
      <c r="AL1282" s="7" t="str">
        <f aca="false">IF(A1282="","",IF(COUNTIF(A1282:A$2001,A1282)=1,1,0))</f>
        <v/>
      </c>
      <c r="AM1282" s="7" t="str">
        <f aca="true">IF(I1282="","",TODAY()-I1282)</f>
        <v/>
      </c>
      <c r="AN1282" s="7" t="str">
        <f aca="false">IF(A1282="","",IF(AND(E1282&lt;&gt;"33 確認済",E1282&lt;&gt;"36 送付中"),1,0))</f>
        <v/>
      </c>
      <c r="AO1282" s="7" t="str">
        <f aca="false">IF(A1282="","",IF(AG1282&lt;&gt;"",1,0))</f>
        <v/>
      </c>
    </row>
    <row r="1283" customFormat="false" ht="15" hidden="false" customHeight="false" outlineLevel="0" collapsed="false">
      <c r="AL1283" s="7" t="str">
        <f aca="false">IF(A1283="","",IF(COUNTIF(A1283:A$2001,A1283)=1,1,0))</f>
        <v/>
      </c>
      <c r="AM1283" s="7" t="str">
        <f aca="true">IF(I1283="","",TODAY()-I1283)</f>
        <v/>
      </c>
      <c r="AN1283" s="7" t="str">
        <f aca="false">IF(A1283="","",IF(AND(E1283&lt;&gt;"33 確認済",E1283&lt;&gt;"36 送付中"),1,0))</f>
        <v/>
      </c>
      <c r="AO1283" s="7" t="str">
        <f aca="false">IF(A1283="","",IF(AG1283&lt;&gt;"",1,0))</f>
        <v/>
      </c>
    </row>
    <row r="1284" customFormat="false" ht="15" hidden="false" customHeight="false" outlineLevel="0" collapsed="false">
      <c r="AL1284" s="7" t="str">
        <f aca="false">IF(A1284="","",IF(COUNTIF(A1284:A$2001,A1284)=1,1,0))</f>
        <v/>
      </c>
      <c r="AM1284" s="7" t="str">
        <f aca="true">IF(I1284="","",TODAY()-I1284)</f>
        <v/>
      </c>
      <c r="AN1284" s="7" t="str">
        <f aca="false">IF(A1284="","",IF(AND(E1284&lt;&gt;"33 確認済",E1284&lt;&gt;"36 送付中"),1,0))</f>
        <v/>
      </c>
      <c r="AO1284" s="7" t="str">
        <f aca="false">IF(A1284="","",IF(AG1284&lt;&gt;"",1,0))</f>
        <v/>
      </c>
    </row>
    <row r="1285" customFormat="false" ht="15" hidden="false" customHeight="false" outlineLevel="0" collapsed="false">
      <c r="AL1285" s="7" t="str">
        <f aca="false">IF(A1285="","",IF(COUNTIF(A1285:A$2001,A1285)=1,1,0))</f>
        <v/>
      </c>
      <c r="AM1285" s="7" t="str">
        <f aca="true">IF(I1285="","",TODAY()-I1285)</f>
        <v/>
      </c>
      <c r="AN1285" s="7" t="str">
        <f aca="false">IF(A1285="","",IF(AND(E1285&lt;&gt;"33 確認済",E1285&lt;&gt;"36 送付中"),1,0))</f>
        <v/>
      </c>
      <c r="AO1285" s="7" t="str">
        <f aca="false">IF(A1285="","",IF(AG1285&lt;&gt;"",1,0))</f>
        <v/>
      </c>
    </row>
    <row r="1286" customFormat="false" ht="15" hidden="false" customHeight="false" outlineLevel="0" collapsed="false">
      <c r="AL1286" s="7" t="str">
        <f aca="false">IF(A1286="","",IF(COUNTIF(A1286:A$2001,A1286)=1,1,0))</f>
        <v/>
      </c>
      <c r="AM1286" s="7" t="str">
        <f aca="true">IF(I1286="","",TODAY()-I1286)</f>
        <v/>
      </c>
      <c r="AN1286" s="7" t="str">
        <f aca="false">IF(A1286="","",IF(AND(E1286&lt;&gt;"33 確認済",E1286&lt;&gt;"36 送付中"),1,0))</f>
        <v/>
      </c>
      <c r="AO1286" s="7" t="str">
        <f aca="false">IF(A1286="","",IF(AG1286&lt;&gt;"",1,0))</f>
        <v/>
      </c>
    </row>
    <row r="1287" customFormat="false" ht="15" hidden="false" customHeight="false" outlineLevel="0" collapsed="false">
      <c r="AL1287" s="7" t="str">
        <f aca="false">IF(A1287="","",IF(COUNTIF(A1287:A$2001,A1287)=1,1,0))</f>
        <v/>
      </c>
      <c r="AM1287" s="7" t="str">
        <f aca="true">IF(I1287="","",TODAY()-I1287)</f>
        <v/>
      </c>
      <c r="AN1287" s="7" t="str">
        <f aca="false">IF(A1287="","",IF(AND(E1287&lt;&gt;"33 確認済",E1287&lt;&gt;"36 送付中"),1,0))</f>
        <v/>
      </c>
      <c r="AO1287" s="7" t="str">
        <f aca="false">IF(A1287="","",IF(AG1287&lt;&gt;"",1,0))</f>
        <v/>
      </c>
    </row>
    <row r="1288" customFormat="false" ht="15" hidden="false" customHeight="false" outlineLevel="0" collapsed="false">
      <c r="AL1288" s="7" t="str">
        <f aca="false">IF(A1288="","",IF(COUNTIF(A1288:A$2001,A1288)=1,1,0))</f>
        <v/>
      </c>
      <c r="AM1288" s="7" t="str">
        <f aca="true">IF(I1288="","",TODAY()-I1288)</f>
        <v/>
      </c>
      <c r="AN1288" s="7" t="str">
        <f aca="false">IF(A1288="","",IF(AND(E1288&lt;&gt;"33 確認済",E1288&lt;&gt;"36 送付中"),1,0))</f>
        <v/>
      </c>
      <c r="AO1288" s="7" t="str">
        <f aca="false">IF(A1288="","",IF(AG1288&lt;&gt;"",1,0))</f>
        <v/>
      </c>
    </row>
    <row r="1289" customFormat="false" ht="15" hidden="false" customHeight="false" outlineLevel="0" collapsed="false">
      <c r="AL1289" s="7" t="str">
        <f aca="false">IF(A1289="","",IF(COUNTIF(A1289:A$2001,A1289)=1,1,0))</f>
        <v/>
      </c>
      <c r="AM1289" s="7" t="str">
        <f aca="true">IF(I1289="","",TODAY()-I1289)</f>
        <v/>
      </c>
      <c r="AN1289" s="7" t="str">
        <f aca="false">IF(A1289="","",IF(AND(E1289&lt;&gt;"33 確認済",E1289&lt;&gt;"36 送付中"),1,0))</f>
        <v/>
      </c>
      <c r="AO1289" s="7" t="str">
        <f aca="false">IF(A1289="","",IF(AG1289&lt;&gt;"",1,0))</f>
        <v/>
      </c>
    </row>
    <row r="1290" customFormat="false" ht="15" hidden="false" customHeight="false" outlineLevel="0" collapsed="false">
      <c r="AL1290" s="7" t="str">
        <f aca="false">IF(A1290="","",IF(COUNTIF(A1290:A$2001,A1290)=1,1,0))</f>
        <v/>
      </c>
      <c r="AM1290" s="7" t="str">
        <f aca="true">IF(I1290="","",TODAY()-I1290)</f>
        <v/>
      </c>
      <c r="AN1290" s="7" t="str">
        <f aca="false">IF(A1290="","",IF(AND(E1290&lt;&gt;"33 確認済",E1290&lt;&gt;"36 送付中"),1,0))</f>
        <v/>
      </c>
      <c r="AO1290" s="7" t="str">
        <f aca="false">IF(A1290="","",IF(AG1290&lt;&gt;"",1,0))</f>
        <v/>
      </c>
    </row>
    <row r="1291" customFormat="false" ht="15" hidden="false" customHeight="false" outlineLevel="0" collapsed="false">
      <c r="AL1291" s="7" t="str">
        <f aca="false">IF(A1291="","",IF(COUNTIF(A1291:A$2001,A1291)=1,1,0))</f>
        <v/>
      </c>
      <c r="AM1291" s="7" t="str">
        <f aca="true">IF(I1291="","",TODAY()-I1291)</f>
        <v/>
      </c>
      <c r="AN1291" s="7" t="str">
        <f aca="false">IF(A1291="","",IF(AND(E1291&lt;&gt;"33 確認済",E1291&lt;&gt;"36 送付中"),1,0))</f>
        <v/>
      </c>
      <c r="AO1291" s="7" t="str">
        <f aca="false">IF(A1291="","",IF(AG1291&lt;&gt;"",1,0))</f>
        <v/>
      </c>
    </row>
    <row r="1292" customFormat="false" ht="15" hidden="false" customHeight="false" outlineLevel="0" collapsed="false">
      <c r="AL1292" s="7" t="str">
        <f aca="false">IF(A1292="","",IF(COUNTIF(A1292:A$2001,A1292)=1,1,0))</f>
        <v/>
      </c>
      <c r="AM1292" s="7" t="str">
        <f aca="true">IF(I1292="","",TODAY()-I1292)</f>
        <v/>
      </c>
      <c r="AN1292" s="7" t="str">
        <f aca="false">IF(A1292="","",IF(AND(E1292&lt;&gt;"33 確認済",E1292&lt;&gt;"36 送付中"),1,0))</f>
        <v/>
      </c>
      <c r="AO1292" s="7" t="str">
        <f aca="false">IF(A1292="","",IF(AG1292&lt;&gt;"",1,0))</f>
        <v/>
      </c>
    </row>
    <row r="1293" customFormat="false" ht="15" hidden="false" customHeight="false" outlineLevel="0" collapsed="false">
      <c r="AL1293" s="7" t="str">
        <f aca="false">IF(A1293="","",IF(COUNTIF(A1293:A$2001,A1293)=1,1,0))</f>
        <v/>
      </c>
      <c r="AM1293" s="7" t="str">
        <f aca="true">IF(I1293="","",TODAY()-I1293)</f>
        <v/>
      </c>
      <c r="AN1293" s="7" t="str">
        <f aca="false">IF(A1293="","",IF(AND(E1293&lt;&gt;"33 確認済",E1293&lt;&gt;"36 送付中"),1,0))</f>
        <v/>
      </c>
      <c r="AO1293" s="7" t="str">
        <f aca="false">IF(A1293="","",IF(AG1293&lt;&gt;"",1,0))</f>
        <v/>
      </c>
    </row>
    <row r="1294" customFormat="false" ht="15" hidden="false" customHeight="false" outlineLevel="0" collapsed="false">
      <c r="AL1294" s="7" t="str">
        <f aca="false">IF(A1294="","",IF(COUNTIF(A1294:A$2001,A1294)=1,1,0))</f>
        <v/>
      </c>
      <c r="AM1294" s="7" t="str">
        <f aca="true">IF(I1294="","",TODAY()-I1294)</f>
        <v/>
      </c>
      <c r="AN1294" s="7" t="str">
        <f aca="false">IF(A1294="","",IF(AND(E1294&lt;&gt;"33 確認済",E1294&lt;&gt;"36 送付中"),1,0))</f>
        <v/>
      </c>
      <c r="AO1294" s="7" t="str">
        <f aca="false">IF(A1294="","",IF(AG1294&lt;&gt;"",1,0))</f>
        <v/>
      </c>
    </row>
    <row r="1295" customFormat="false" ht="15" hidden="false" customHeight="false" outlineLevel="0" collapsed="false">
      <c r="AL1295" s="7" t="str">
        <f aca="false">IF(A1295="","",IF(COUNTIF(A1295:A$2001,A1295)=1,1,0))</f>
        <v/>
      </c>
      <c r="AM1295" s="7" t="str">
        <f aca="true">IF(I1295="","",TODAY()-I1295)</f>
        <v/>
      </c>
      <c r="AN1295" s="7" t="str">
        <f aca="false">IF(A1295="","",IF(AND(E1295&lt;&gt;"33 確認済",E1295&lt;&gt;"36 送付中"),1,0))</f>
        <v/>
      </c>
      <c r="AO1295" s="7" t="str">
        <f aca="false">IF(A1295="","",IF(AG1295&lt;&gt;"",1,0))</f>
        <v/>
      </c>
    </row>
    <row r="1296" customFormat="false" ht="15" hidden="false" customHeight="false" outlineLevel="0" collapsed="false">
      <c r="AL1296" s="7" t="str">
        <f aca="false">IF(A1296="","",IF(COUNTIF(A1296:A$2001,A1296)=1,1,0))</f>
        <v/>
      </c>
      <c r="AM1296" s="7" t="str">
        <f aca="true">IF(I1296="","",TODAY()-I1296)</f>
        <v/>
      </c>
      <c r="AN1296" s="7" t="str">
        <f aca="false">IF(A1296="","",IF(AND(E1296&lt;&gt;"33 確認済",E1296&lt;&gt;"36 送付中"),1,0))</f>
        <v/>
      </c>
      <c r="AO1296" s="7" t="str">
        <f aca="false">IF(A1296="","",IF(AG1296&lt;&gt;"",1,0))</f>
        <v/>
      </c>
    </row>
    <row r="1297" customFormat="false" ht="15" hidden="false" customHeight="false" outlineLevel="0" collapsed="false">
      <c r="AL1297" s="7" t="str">
        <f aca="false">IF(A1297="","",IF(COUNTIF(A1297:A$2001,A1297)=1,1,0))</f>
        <v/>
      </c>
      <c r="AM1297" s="7" t="str">
        <f aca="true">IF(I1297="","",TODAY()-I1297)</f>
        <v/>
      </c>
      <c r="AN1297" s="7" t="str">
        <f aca="false">IF(A1297="","",IF(AND(E1297&lt;&gt;"33 確認済",E1297&lt;&gt;"36 送付中"),1,0))</f>
        <v/>
      </c>
      <c r="AO1297" s="7" t="str">
        <f aca="false">IF(A1297="","",IF(AG1297&lt;&gt;"",1,0))</f>
        <v/>
      </c>
    </row>
    <row r="1298" customFormat="false" ht="15" hidden="false" customHeight="false" outlineLevel="0" collapsed="false">
      <c r="AL1298" s="7" t="str">
        <f aca="false">IF(A1298="","",IF(COUNTIF(A1298:A$2001,A1298)=1,1,0))</f>
        <v/>
      </c>
      <c r="AM1298" s="7" t="str">
        <f aca="true">IF(I1298="","",TODAY()-I1298)</f>
        <v/>
      </c>
      <c r="AN1298" s="7" t="str">
        <f aca="false">IF(A1298="","",IF(AND(E1298&lt;&gt;"33 確認済",E1298&lt;&gt;"36 送付中"),1,0))</f>
        <v/>
      </c>
      <c r="AO1298" s="7" t="str">
        <f aca="false">IF(A1298="","",IF(AG1298&lt;&gt;"",1,0))</f>
        <v/>
      </c>
    </row>
    <row r="1299" customFormat="false" ht="15" hidden="false" customHeight="false" outlineLevel="0" collapsed="false">
      <c r="AL1299" s="7" t="str">
        <f aca="false">IF(A1299="","",IF(COUNTIF(A1299:A$2001,A1299)=1,1,0))</f>
        <v/>
      </c>
      <c r="AM1299" s="7" t="str">
        <f aca="true">IF(I1299="","",TODAY()-I1299)</f>
        <v/>
      </c>
      <c r="AN1299" s="7" t="str">
        <f aca="false">IF(A1299="","",IF(AND(E1299&lt;&gt;"33 確認済",E1299&lt;&gt;"36 送付中"),1,0))</f>
        <v/>
      </c>
      <c r="AO1299" s="7" t="str">
        <f aca="false">IF(A1299="","",IF(AG1299&lt;&gt;"",1,0))</f>
        <v/>
      </c>
    </row>
    <row r="1300" customFormat="false" ht="15" hidden="false" customHeight="false" outlineLevel="0" collapsed="false">
      <c r="AL1300" s="7" t="str">
        <f aca="false">IF(A1300="","",IF(COUNTIF(A1300:A$2001,A1300)=1,1,0))</f>
        <v/>
      </c>
      <c r="AM1300" s="7" t="str">
        <f aca="true">IF(I1300="","",TODAY()-I1300)</f>
        <v/>
      </c>
      <c r="AN1300" s="7" t="str">
        <f aca="false">IF(A1300="","",IF(AND(E1300&lt;&gt;"33 確認済",E1300&lt;&gt;"36 送付中"),1,0))</f>
        <v/>
      </c>
      <c r="AO1300" s="7" t="str">
        <f aca="false">IF(A1300="","",IF(AG1300&lt;&gt;"",1,0))</f>
        <v/>
      </c>
    </row>
    <row r="1301" customFormat="false" ht="15" hidden="false" customHeight="false" outlineLevel="0" collapsed="false">
      <c r="AL1301" s="7" t="str">
        <f aca="false">IF(A1301="","",IF(COUNTIF(A1301:A$2001,A1301)=1,1,0))</f>
        <v/>
      </c>
      <c r="AM1301" s="7" t="str">
        <f aca="true">IF(I1301="","",TODAY()-I1301)</f>
        <v/>
      </c>
      <c r="AN1301" s="7" t="str">
        <f aca="false">IF(A1301="","",IF(AND(E1301&lt;&gt;"33 確認済",E1301&lt;&gt;"36 送付中"),1,0))</f>
        <v/>
      </c>
      <c r="AO1301" s="7" t="str">
        <f aca="false">IF(A1301="","",IF(AG1301&lt;&gt;"",1,0))</f>
        <v/>
      </c>
    </row>
    <row r="1302" customFormat="false" ht="15" hidden="false" customHeight="false" outlineLevel="0" collapsed="false">
      <c r="AL1302" s="7" t="str">
        <f aca="false">IF(A1302="","",IF(COUNTIF(A1302:A$2001,A1302)=1,1,0))</f>
        <v/>
      </c>
      <c r="AM1302" s="7" t="str">
        <f aca="true">IF(I1302="","",TODAY()-I1302)</f>
        <v/>
      </c>
      <c r="AN1302" s="7" t="str">
        <f aca="false">IF(A1302="","",IF(AND(E1302&lt;&gt;"33 確認済",E1302&lt;&gt;"36 送付中"),1,0))</f>
        <v/>
      </c>
      <c r="AO1302" s="7" t="str">
        <f aca="false">IF(A1302="","",IF(AG1302&lt;&gt;"",1,0))</f>
        <v/>
      </c>
    </row>
    <row r="1303" customFormat="false" ht="15" hidden="false" customHeight="false" outlineLevel="0" collapsed="false">
      <c r="AL1303" s="7" t="str">
        <f aca="false">IF(A1303="","",IF(COUNTIF(A1303:A$2001,A1303)=1,1,0))</f>
        <v/>
      </c>
      <c r="AM1303" s="7" t="str">
        <f aca="true">IF(I1303="","",TODAY()-I1303)</f>
        <v/>
      </c>
      <c r="AN1303" s="7" t="str">
        <f aca="false">IF(A1303="","",IF(AND(E1303&lt;&gt;"33 確認済",E1303&lt;&gt;"36 送付中"),1,0))</f>
        <v/>
      </c>
      <c r="AO1303" s="7" t="str">
        <f aca="false">IF(A1303="","",IF(AG1303&lt;&gt;"",1,0))</f>
        <v/>
      </c>
    </row>
    <row r="1304" customFormat="false" ht="15" hidden="false" customHeight="false" outlineLevel="0" collapsed="false">
      <c r="AL1304" s="7" t="str">
        <f aca="false">IF(A1304="","",IF(COUNTIF(A1304:A$2001,A1304)=1,1,0))</f>
        <v/>
      </c>
      <c r="AM1304" s="7" t="str">
        <f aca="true">IF(I1304="","",TODAY()-I1304)</f>
        <v/>
      </c>
      <c r="AN1304" s="7" t="str">
        <f aca="false">IF(A1304="","",IF(AND(E1304&lt;&gt;"33 確認済",E1304&lt;&gt;"36 送付中"),1,0))</f>
        <v/>
      </c>
      <c r="AO1304" s="7" t="str">
        <f aca="false">IF(A1304="","",IF(AG1304&lt;&gt;"",1,0))</f>
        <v/>
      </c>
    </row>
    <row r="1305" customFormat="false" ht="15" hidden="false" customHeight="false" outlineLevel="0" collapsed="false">
      <c r="AL1305" s="7" t="str">
        <f aca="false">IF(A1305="","",IF(COUNTIF(A1305:A$2001,A1305)=1,1,0))</f>
        <v/>
      </c>
      <c r="AM1305" s="7" t="str">
        <f aca="true">IF(I1305="","",TODAY()-I1305)</f>
        <v/>
      </c>
      <c r="AN1305" s="7" t="str">
        <f aca="false">IF(A1305="","",IF(AND(E1305&lt;&gt;"33 確認済",E1305&lt;&gt;"36 送付中"),1,0))</f>
        <v/>
      </c>
      <c r="AO1305" s="7" t="str">
        <f aca="false">IF(A1305="","",IF(AG1305&lt;&gt;"",1,0))</f>
        <v/>
      </c>
    </row>
    <row r="1306" customFormat="false" ht="15" hidden="false" customHeight="false" outlineLevel="0" collapsed="false">
      <c r="AL1306" s="7" t="str">
        <f aca="false">IF(A1306="","",IF(COUNTIF(A1306:A$2001,A1306)=1,1,0))</f>
        <v/>
      </c>
      <c r="AM1306" s="7" t="str">
        <f aca="true">IF(I1306="","",TODAY()-I1306)</f>
        <v/>
      </c>
      <c r="AN1306" s="7" t="str">
        <f aca="false">IF(A1306="","",IF(AND(E1306&lt;&gt;"33 確認済",E1306&lt;&gt;"36 送付中"),1,0))</f>
        <v/>
      </c>
      <c r="AO1306" s="7" t="str">
        <f aca="false">IF(A1306="","",IF(AG1306&lt;&gt;"",1,0))</f>
        <v/>
      </c>
    </row>
    <row r="1307" customFormat="false" ht="15" hidden="false" customHeight="false" outlineLevel="0" collapsed="false">
      <c r="AL1307" s="7" t="str">
        <f aca="false">IF(A1307="","",IF(COUNTIF(A1307:A$2001,A1307)=1,1,0))</f>
        <v/>
      </c>
      <c r="AM1307" s="7" t="str">
        <f aca="true">IF(I1307="","",TODAY()-I1307)</f>
        <v/>
      </c>
      <c r="AN1307" s="7" t="str">
        <f aca="false">IF(A1307="","",IF(AND(E1307&lt;&gt;"33 確認済",E1307&lt;&gt;"36 送付中"),1,0))</f>
        <v/>
      </c>
      <c r="AO1307" s="7" t="str">
        <f aca="false">IF(A1307="","",IF(AG1307&lt;&gt;"",1,0))</f>
        <v/>
      </c>
    </row>
    <row r="1308" customFormat="false" ht="15" hidden="false" customHeight="false" outlineLevel="0" collapsed="false">
      <c r="AL1308" s="7" t="str">
        <f aca="false">IF(A1308="","",IF(COUNTIF(A1308:A$2001,A1308)=1,1,0))</f>
        <v/>
      </c>
      <c r="AM1308" s="7" t="str">
        <f aca="true">IF(I1308="","",TODAY()-I1308)</f>
        <v/>
      </c>
      <c r="AN1308" s="7" t="str">
        <f aca="false">IF(A1308="","",IF(AND(E1308&lt;&gt;"33 確認済",E1308&lt;&gt;"36 送付中"),1,0))</f>
        <v/>
      </c>
      <c r="AO1308" s="7" t="str">
        <f aca="false">IF(A1308="","",IF(AG1308&lt;&gt;"",1,0))</f>
        <v/>
      </c>
    </row>
    <row r="1309" customFormat="false" ht="15" hidden="false" customHeight="false" outlineLevel="0" collapsed="false">
      <c r="AL1309" s="7" t="str">
        <f aca="false">IF(A1309="","",IF(COUNTIF(A1309:A$2001,A1309)=1,1,0))</f>
        <v/>
      </c>
      <c r="AM1309" s="7" t="str">
        <f aca="true">IF(I1309="","",TODAY()-I1309)</f>
        <v/>
      </c>
      <c r="AN1309" s="7" t="str">
        <f aca="false">IF(A1309="","",IF(AND(E1309&lt;&gt;"33 確認済",E1309&lt;&gt;"36 送付中"),1,0))</f>
        <v/>
      </c>
      <c r="AO1309" s="7" t="str">
        <f aca="false">IF(A1309="","",IF(AG1309&lt;&gt;"",1,0))</f>
        <v/>
      </c>
    </row>
    <row r="1310" customFormat="false" ht="15" hidden="false" customHeight="false" outlineLevel="0" collapsed="false">
      <c r="AL1310" s="7" t="str">
        <f aca="false">IF(A1310="","",IF(COUNTIF(A1310:A$2001,A1310)=1,1,0))</f>
        <v/>
      </c>
      <c r="AM1310" s="7" t="str">
        <f aca="true">IF(I1310="","",TODAY()-I1310)</f>
        <v/>
      </c>
      <c r="AN1310" s="7" t="str">
        <f aca="false">IF(A1310="","",IF(AND(E1310&lt;&gt;"33 確認済",E1310&lt;&gt;"36 送付中"),1,0))</f>
        <v/>
      </c>
      <c r="AO1310" s="7" t="str">
        <f aca="false">IF(A1310="","",IF(AG1310&lt;&gt;"",1,0))</f>
        <v/>
      </c>
    </row>
    <row r="1311" customFormat="false" ht="15" hidden="false" customHeight="false" outlineLevel="0" collapsed="false">
      <c r="AL1311" s="7" t="str">
        <f aca="false">IF(A1311="","",IF(COUNTIF(A1311:A$2001,A1311)=1,1,0))</f>
        <v/>
      </c>
      <c r="AM1311" s="7" t="str">
        <f aca="true">IF(I1311="","",TODAY()-I1311)</f>
        <v/>
      </c>
      <c r="AN1311" s="7" t="str">
        <f aca="false">IF(A1311="","",IF(AND(E1311&lt;&gt;"33 確認済",E1311&lt;&gt;"36 送付中"),1,0))</f>
        <v/>
      </c>
      <c r="AO1311" s="7" t="str">
        <f aca="false">IF(A1311="","",IF(AG1311&lt;&gt;"",1,0))</f>
        <v/>
      </c>
    </row>
    <row r="1312" customFormat="false" ht="15" hidden="false" customHeight="false" outlineLevel="0" collapsed="false">
      <c r="AL1312" s="7" t="str">
        <f aca="false">IF(A1312="","",IF(COUNTIF(A1312:A$2001,A1312)=1,1,0))</f>
        <v/>
      </c>
      <c r="AM1312" s="7" t="str">
        <f aca="true">IF(I1312="","",TODAY()-I1312)</f>
        <v/>
      </c>
      <c r="AN1312" s="7" t="str">
        <f aca="false">IF(A1312="","",IF(AND(E1312&lt;&gt;"33 確認済",E1312&lt;&gt;"36 送付中"),1,0))</f>
        <v/>
      </c>
      <c r="AO1312" s="7" t="str">
        <f aca="false">IF(A1312="","",IF(AG1312&lt;&gt;"",1,0))</f>
        <v/>
      </c>
    </row>
    <row r="1313" customFormat="false" ht="15" hidden="false" customHeight="false" outlineLevel="0" collapsed="false">
      <c r="AL1313" s="7" t="str">
        <f aca="false">IF(A1313="","",IF(COUNTIF(A1313:A$2001,A1313)=1,1,0))</f>
        <v/>
      </c>
      <c r="AM1313" s="7" t="str">
        <f aca="true">IF(I1313="","",TODAY()-I1313)</f>
        <v/>
      </c>
      <c r="AN1313" s="7" t="str">
        <f aca="false">IF(A1313="","",IF(AND(E1313&lt;&gt;"33 確認済",E1313&lt;&gt;"36 送付中"),1,0))</f>
        <v/>
      </c>
      <c r="AO1313" s="7" t="str">
        <f aca="false">IF(A1313="","",IF(AG1313&lt;&gt;"",1,0))</f>
        <v/>
      </c>
    </row>
    <row r="1314" customFormat="false" ht="15" hidden="false" customHeight="false" outlineLevel="0" collapsed="false">
      <c r="AL1314" s="7" t="str">
        <f aca="false">IF(A1314="","",IF(COUNTIF(A1314:A$2001,A1314)=1,1,0))</f>
        <v/>
      </c>
      <c r="AM1314" s="7" t="str">
        <f aca="true">IF(I1314="","",TODAY()-I1314)</f>
        <v/>
      </c>
      <c r="AN1314" s="7" t="str">
        <f aca="false">IF(A1314="","",IF(AND(E1314&lt;&gt;"33 確認済",E1314&lt;&gt;"36 送付中"),1,0))</f>
        <v/>
      </c>
      <c r="AO1314" s="7" t="str">
        <f aca="false">IF(A1314="","",IF(AG1314&lt;&gt;"",1,0))</f>
        <v/>
      </c>
    </row>
    <row r="1315" customFormat="false" ht="15" hidden="false" customHeight="false" outlineLevel="0" collapsed="false">
      <c r="AL1315" s="7" t="str">
        <f aca="false">IF(A1315="","",IF(COUNTIF(A1315:A$2001,A1315)=1,1,0))</f>
        <v/>
      </c>
      <c r="AM1315" s="7" t="str">
        <f aca="true">IF(I1315="","",TODAY()-I1315)</f>
        <v/>
      </c>
      <c r="AN1315" s="7" t="str">
        <f aca="false">IF(A1315="","",IF(AND(E1315&lt;&gt;"33 確認済",E1315&lt;&gt;"36 送付中"),1,0))</f>
        <v/>
      </c>
      <c r="AO1315" s="7" t="str">
        <f aca="false">IF(A1315="","",IF(AG1315&lt;&gt;"",1,0))</f>
        <v/>
      </c>
    </row>
    <row r="1316" customFormat="false" ht="15" hidden="false" customHeight="false" outlineLevel="0" collapsed="false">
      <c r="AL1316" s="7" t="str">
        <f aca="false">IF(A1316="","",IF(COUNTIF(A1316:A$2001,A1316)=1,1,0))</f>
        <v/>
      </c>
      <c r="AM1316" s="7" t="str">
        <f aca="true">IF(I1316="","",TODAY()-I1316)</f>
        <v/>
      </c>
      <c r="AN1316" s="7" t="str">
        <f aca="false">IF(A1316="","",IF(AND(E1316&lt;&gt;"33 確認済",E1316&lt;&gt;"36 送付中"),1,0))</f>
        <v/>
      </c>
      <c r="AO1316" s="7" t="str">
        <f aca="false">IF(A1316="","",IF(AG1316&lt;&gt;"",1,0))</f>
        <v/>
      </c>
    </row>
    <row r="1317" customFormat="false" ht="15" hidden="false" customHeight="false" outlineLevel="0" collapsed="false">
      <c r="AL1317" s="7" t="str">
        <f aca="false">IF(A1317="","",IF(COUNTIF(A1317:A$2001,A1317)=1,1,0))</f>
        <v/>
      </c>
      <c r="AM1317" s="7" t="str">
        <f aca="true">IF(I1317="","",TODAY()-I1317)</f>
        <v/>
      </c>
      <c r="AN1317" s="7" t="str">
        <f aca="false">IF(A1317="","",IF(AND(E1317&lt;&gt;"33 確認済",E1317&lt;&gt;"36 送付中"),1,0))</f>
        <v/>
      </c>
      <c r="AO1317" s="7" t="str">
        <f aca="false">IF(A1317="","",IF(AG1317&lt;&gt;"",1,0))</f>
        <v/>
      </c>
    </row>
    <row r="1318" customFormat="false" ht="15" hidden="false" customHeight="false" outlineLevel="0" collapsed="false">
      <c r="AL1318" s="7" t="str">
        <f aca="false">IF(A1318="","",IF(COUNTIF(A1318:A$2001,A1318)=1,1,0))</f>
        <v/>
      </c>
      <c r="AM1318" s="7" t="str">
        <f aca="true">IF(I1318="","",TODAY()-I1318)</f>
        <v/>
      </c>
      <c r="AN1318" s="7" t="str">
        <f aca="false">IF(A1318="","",IF(AND(E1318&lt;&gt;"33 確認済",E1318&lt;&gt;"36 送付中"),1,0))</f>
        <v/>
      </c>
      <c r="AO1318" s="7" t="str">
        <f aca="false">IF(A1318="","",IF(AG1318&lt;&gt;"",1,0))</f>
        <v/>
      </c>
    </row>
    <row r="1319" customFormat="false" ht="15" hidden="false" customHeight="false" outlineLevel="0" collapsed="false">
      <c r="AL1319" s="7" t="str">
        <f aca="false">IF(A1319="","",IF(COUNTIF(A1319:A$2001,A1319)=1,1,0))</f>
        <v/>
      </c>
      <c r="AM1319" s="7" t="str">
        <f aca="true">IF(I1319="","",TODAY()-I1319)</f>
        <v/>
      </c>
      <c r="AN1319" s="7" t="str">
        <f aca="false">IF(A1319="","",IF(AND(E1319&lt;&gt;"33 確認済",E1319&lt;&gt;"36 送付中"),1,0))</f>
        <v/>
      </c>
      <c r="AO1319" s="7" t="str">
        <f aca="false">IF(A1319="","",IF(AG1319&lt;&gt;"",1,0))</f>
        <v/>
      </c>
    </row>
    <row r="1320" customFormat="false" ht="15" hidden="false" customHeight="false" outlineLevel="0" collapsed="false">
      <c r="AL1320" s="7" t="str">
        <f aca="false">IF(A1320="","",IF(COUNTIF(A1320:A$2001,A1320)=1,1,0))</f>
        <v/>
      </c>
      <c r="AM1320" s="7" t="str">
        <f aca="true">IF(I1320="","",TODAY()-I1320)</f>
        <v/>
      </c>
      <c r="AN1320" s="7" t="str">
        <f aca="false">IF(A1320="","",IF(AND(E1320&lt;&gt;"33 確認済",E1320&lt;&gt;"36 送付中"),1,0))</f>
        <v/>
      </c>
      <c r="AO1320" s="7" t="str">
        <f aca="false">IF(A1320="","",IF(AG1320&lt;&gt;"",1,0))</f>
        <v/>
      </c>
    </row>
    <row r="1321" customFormat="false" ht="15" hidden="false" customHeight="false" outlineLevel="0" collapsed="false">
      <c r="AL1321" s="7" t="str">
        <f aca="false">IF(A1321="","",IF(COUNTIF(A1321:A$2001,A1321)=1,1,0))</f>
        <v/>
      </c>
      <c r="AM1321" s="7" t="str">
        <f aca="true">IF(I1321="","",TODAY()-I1321)</f>
        <v/>
      </c>
      <c r="AN1321" s="7" t="str">
        <f aca="false">IF(A1321="","",IF(AND(E1321&lt;&gt;"33 確認済",E1321&lt;&gt;"36 送付中"),1,0))</f>
        <v/>
      </c>
      <c r="AO1321" s="7" t="str">
        <f aca="false">IF(A1321="","",IF(AG1321&lt;&gt;"",1,0))</f>
        <v/>
      </c>
    </row>
    <row r="1322" customFormat="false" ht="15" hidden="false" customHeight="false" outlineLevel="0" collapsed="false">
      <c r="AL1322" s="7" t="str">
        <f aca="false">IF(A1322="","",IF(COUNTIF(A1322:A$2001,A1322)=1,1,0))</f>
        <v/>
      </c>
      <c r="AM1322" s="7" t="str">
        <f aca="true">IF(I1322="","",TODAY()-I1322)</f>
        <v/>
      </c>
      <c r="AN1322" s="7" t="str">
        <f aca="false">IF(A1322="","",IF(AND(E1322&lt;&gt;"33 確認済",E1322&lt;&gt;"36 送付中"),1,0))</f>
        <v/>
      </c>
      <c r="AO1322" s="7" t="str">
        <f aca="false">IF(A1322="","",IF(AG1322&lt;&gt;"",1,0))</f>
        <v/>
      </c>
    </row>
    <row r="1323" customFormat="false" ht="15" hidden="false" customHeight="false" outlineLevel="0" collapsed="false">
      <c r="AL1323" s="7" t="str">
        <f aca="false">IF(A1323="","",IF(COUNTIF(A1323:A$2001,A1323)=1,1,0))</f>
        <v/>
      </c>
      <c r="AM1323" s="7" t="str">
        <f aca="true">IF(I1323="","",TODAY()-I1323)</f>
        <v/>
      </c>
      <c r="AN1323" s="7" t="str">
        <f aca="false">IF(A1323="","",IF(AND(E1323&lt;&gt;"33 確認済",E1323&lt;&gt;"36 送付中"),1,0))</f>
        <v/>
      </c>
      <c r="AO1323" s="7" t="str">
        <f aca="false">IF(A1323="","",IF(AG1323&lt;&gt;"",1,0))</f>
        <v/>
      </c>
    </row>
    <row r="1324" customFormat="false" ht="15" hidden="false" customHeight="false" outlineLevel="0" collapsed="false">
      <c r="AL1324" s="7" t="str">
        <f aca="false">IF(A1324="","",IF(COUNTIF(A1324:A$2001,A1324)=1,1,0))</f>
        <v/>
      </c>
      <c r="AM1324" s="7" t="str">
        <f aca="true">IF(I1324="","",TODAY()-I1324)</f>
        <v/>
      </c>
      <c r="AN1324" s="7" t="str">
        <f aca="false">IF(A1324="","",IF(AND(E1324&lt;&gt;"33 確認済",E1324&lt;&gt;"36 送付中"),1,0))</f>
        <v/>
      </c>
      <c r="AO1324" s="7" t="str">
        <f aca="false">IF(A1324="","",IF(AG1324&lt;&gt;"",1,0))</f>
        <v/>
      </c>
    </row>
    <row r="1325" customFormat="false" ht="15" hidden="false" customHeight="false" outlineLevel="0" collapsed="false">
      <c r="AL1325" s="7" t="str">
        <f aca="false">IF(A1325="","",IF(COUNTIF(A1325:A$2001,A1325)=1,1,0))</f>
        <v/>
      </c>
      <c r="AM1325" s="7" t="str">
        <f aca="true">IF(I1325="","",TODAY()-I1325)</f>
        <v/>
      </c>
      <c r="AN1325" s="7" t="str">
        <f aca="false">IF(A1325="","",IF(AND(E1325&lt;&gt;"33 確認済",E1325&lt;&gt;"36 送付中"),1,0))</f>
        <v/>
      </c>
      <c r="AO1325" s="7" t="str">
        <f aca="false">IF(A1325="","",IF(AG1325&lt;&gt;"",1,0))</f>
        <v/>
      </c>
    </row>
    <row r="1326" customFormat="false" ht="15" hidden="false" customHeight="false" outlineLevel="0" collapsed="false">
      <c r="AL1326" s="7" t="str">
        <f aca="false">IF(A1326="","",IF(COUNTIF(A1326:A$2001,A1326)=1,1,0))</f>
        <v/>
      </c>
      <c r="AM1326" s="7" t="str">
        <f aca="true">IF(I1326="","",TODAY()-I1326)</f>
        <v/>
      </c>
      <c r="AN1326" s="7" t="str">
        <f aca="false">IF(A1326="","",IF(AND(E1326&lt;&gt;"33 確認済",E1326&lt;&gt;"36 送付中"),1,0))</f>
        <v/>
      </c>
      <c r="AO1326" s="7" t="str">
        <f aca="false">IF(A1326="","",IF(AG1326&lt;&gt;"",1,0))</f>
        <v/>
      </c>
    </row>
    <row r="1327" customFormat="false" ht="15" hidden="false" customHeight="false" outlineLevel="0" collapsed="false">
      <c r="AL1327" s="7" t="str">
        <f aca="false">IF(A1327="","",IF(COUNTIF(A1327:A$2001,A1327)=1,1,0))</f>
        <v/>
      </c>
      <c r="AM1327" s="7" t="str">
        <f aca="true">IF(I1327="","",TODAY()-I1327)</f>
        <v/>
      </c>
      <c r="AN1327" s="7" t="str">
        <f aca="false">IF(A1327="","",IF(AND(E1327&lt;&gt;"33 確認済",E1327&lt;&gt;"36 送付中"),1,0))</f>
        <v/>
      </c>
      <c r="AO1327" s="7" t="str">
        <f aca="false">IF(A1327="","",IF(AG1327&lt;&gt;"",1,0))</f>
        <v/>
      </c>
    </row>
    <row r="1328" customFormat="false" ht="15" hidden="false" customHeight="false" outlineLevel="0" collapsed="false">
      <c r="AL1328" s="7" t="str">
        <f aca="false">IF(A1328="","",IF(COUNTIF(A1328:A$2001,A1328)=1,1,0))</f>
        <v/>
      </c>
      <c r="AM1328" s="7" t="str">
        <f aca="true">IF(I1328="","",TODAY()-I1328)</f>
        <v/>
      </c>
      <c r="AN1328" s="7" t="str">
        <f aca="false">IF(A1328="","",IF(AND(E1328&lt;&gt;"33 確認済",E1328&lt;&gt;"36 送付中"),1,0))</f>
        <v/>
      </c>
      <c r="AO1328" s="7" t="str">
        <f aca="false">IF(A1328="","",IF(AG1328&lt;&gt;"",1,0))</f>
        <v/>
      </c>
    </row>
    <row r="1329" customFormat="false" ht="15" hidden="false" customHeight="false" outlineLevel="0" collapsed="false">
      <c r="AL1329" s="7" t="str">
        <f aca="false">IF(A1329="","",IF(COUNTIF(A1329:A$2001,A1329)=1,1,0))</f>
        <v/>
      </c>
      <c r="AM1329" s="7" t="str">
        <f aca="true">IF(I1329="","",TODAY()-I1329)</f>
        <v/>
      </c>
      <c r="AN1329" s="7" t="str">
        <f aca="false">IF(A1329="","",IF(AND(E1329&lt;&gt;"33 確認済",E1329&lt;&gt;"36 送付中"),1,0))</f>
        <v/>
      </c>
      <c r="AO1329" s="7" t="str">
        <f aca="false">IF(A1329="","",IF(AG1329&lt;&gt;"",1,0))</f>
        <v/>
      </c>
    </row>
    <row r="1330" customFormat="false" ht="15" hidden="false" customHeight="false" outlineLevel="0" collapsed="false">
      <c r="AL1330" s="7" t="str">
        <f aca="false">IF(A1330="","",IF(COUNTIF(A1330:A$2001,A1330)=1,1,0))</f>
        <v/>
      </c>
      <c r="AM1330" s="7" t="str">
        <f aca="true">IF(I1330="","",TODAY()-I1330)</f>
        <v/>
      </c>
      <c r="AN1330" s="7" t="str">
        <f aca="false">IF(A1330="","",IF(AND(E1330&lt;&gt;"33 確認済",E1330&lt;&gt;"36 送付中"),1,0))</f>
        <v/>
      </c>
      <c r="AO1330" s="7" t="str">
        <f aca="false">IF(A1330="","",IF(AG1330&lt;&gt;"",1,0))</f>
        <v/>
      </c>
    </row>
    <row r="1331" customFormat="false" ht="15" hidden="false" customHeight="false" outlineLevel="0" collapsed="false">
      <c r="AL1331" s="7" t="str">
        <f aca="false">IF(A1331="","",IF(COUNTIF(A1331:A$2001,A1331)=1,1,0))</f>
        <v/>
      </c>
      <c r="AM1331" s="7" t="str">
        <f aca="true">IF(I1331="","",TODAY()-I1331)</f>
        <v/>
      </c>
      <c r="AN1331" s="7" t="str">
        <f aca="false">IF(A1331="","",IF(AND(E1331&lt;&gt;"33 確認済",E1331&lt;&gt;"36 送付中"),1,0))</f>
        <v/>
      </c>
      <c r="AO1331" s="7" t="str">
        <f aca="false">IF(A1331="","",IF(AG1331&lt;&gt;"",1,0))</f>
        <v/>
      </c>
    </row>
    <row r="1332" customFormat="false" ht="15" hidden="false" customHeight="false" outlineLevel="0" collapsed="false">
      <c r="AL1332" s="7" t="str">
        <f aca="false">IF(A1332="","",IF(COUNTIF(A1332:A$2001,A1332)=1,1,0))</f>
        <v/>
      </c>
      <c r="AM1332" s="7" t="str">
        <f aca="true">IF(I1332="","",TODAY()-I1332)</f>
        <v/>
      </c>
      <c r="AN1332" s="7" t="str">
        <f aca="false">IF(A1332="","",IF(AND(E1332&lt;&gt;"33 確認済",E1332&lt;&gt;"36 送付中"),1,0))</f>
        <v/>
      </c>
      <c r="AO1332" s="7" t="str">
        <f aca="false">IF(A1332="","",IF(AG1332&lt;&gt;"",1,0))</f>
        <v/>
      </c>
    </row>
    <row r="1333" customFormat="false" ht="15" hidden="false" customHeight="false" outlineLevel="0" collapsed="false">
      <c r="AL1333" s="7" t="str">
        <f aca="false">IF(A1333="","",IF(COUNTIF(A1333:A$2001,A1333)=1,1,0))</f>
        <v/>
      </c>
      <c r="AM1333" s="7" t="str">
        <f aca="true">IF(I1333="","",TODAY()-I1333)</f>
        <v/>
      </c>
      <c r="AN1333" s="7" t="str">
        <f aca="false">IF(A1333="","",IF(AND(E1333&lt;&gt;"33 確認済",E1333&lt;&gt;"36 送付中"),1,0))</f>
        <v/>
      </c>
      <c r="AO1333" s="7" t="str">
        <f aca="false">IF(A1333="","",IF(AG1333&lt;&gt;"",1,0))</f>
        <v/>
      </c>
    </row>
    <row r="1334" customFormat="false" ht="15" hidden="false" customHeight="false" outlineLevel="0" collapsed="false">
      <c r="AL1334" s="7" t="str">
        <f aca="false">IF(A1334="","",IF(COUNTIF(A1334:A$2001,A1334)=1,1,0))</f>
        <v/>
      </c>
      <c r="AM1334" s="7" t="str">
        <f aca="true">IF(I1334="","",TODAY()-I1334)</f>
        <v/>
      </c>
      <c r="AN1334" s="7" t="str">
        <f aca="false">IF(A1334="","",IF(AND(E1334&lt;&gt;"33 確認済",E1334&lt;&gt;"36 送付中"),1,0))</f>
        <v/>
      </c>
      <c r="AO1334" s="7" t="str">
        <f aca="false">IF(A1334="","",IF(AG1334&lt;&gt;"",1,0))</f>
        <v/>
      </c>
    </row>
    <row r="1335" customFormat="false" ht="15" hidden="false" customHeight="false" outlineLevel="0" collapsed="false">
      <c r="AL1335" s="7" t="str">
        <f aca="false">IF(A1335="","",IF(COUNTIF(A1335:A$2001,A1335)=1,1,0))</f>
        <v/>
      </c>
      <c r="AM1335" s="7" t="str">
        <f aca="true">IF(I1335="","",TODAY()-I1335)</f>
        <v/>
      </c>
      <c r="AN1335" s="7" t="str">
        <f aca="false">IF(A1335="","",IF(AND(E1335&lt;&gt;"33 確認済",E1335&lt;&gt;"36 送付中"),1,0))</f>
        <v/>
      </c>
      <c r="AO1335" s="7" t="str">
        <f aca="false">IF(A1335="","",IF(AG1335&lt;&gt;"",1,0))</f>
        <v/>
      </c>
    </row>
    <row r="1336" customFormat="false" ht="15" hidden="false" customHeight="false" outlineLevel="0" collapsed="false">
      <c r="AL1336" s="7" t="str">
        <f aca="false">IF(A1336="","",IF(COUNTIF(A1336:A$2001,A1336)=1,1,0))</f>
        <v/>
      </c>
      <c r="AM1336" s="7" t="str">
        <f aca="true">IF(I1336="","",TODAY()-I1336)</f>
        <v/>
      </c>
      <c r="AN1336" s="7" t="str">
        <f aca="false">IF(A1336="","",IF(AND(E1336&lt;&gt;"33 確認済",E1336&lt;&gt;"36 送付中"),1,0))</f>
        <v/>
      </c>
      <c r="AO1336" s="7" t="str">
        <f aca="false">IF(A1336="","",IF(AG1336&lt;&gt;"",1,0))</f>
        <v/>
      </c>
    </row>
    <row r="1337" customFormat="false" ht="15" hidden="false" customHeight="false" outlineLevel="0" collapsed="false">
      <c r="AL1337" s="7" t="str">
        <f aca="false">IF(A1337="","",IF(COUNTIF(A1337:A$2001,A1337)=1,1,0))</f>
        <v/>
      </c>
      <c r="AM1337" s="7" t="str">
        <f aca="true">IF(I1337="","",TODAY()-I1337)</f>
        <v/>
      </c>
      <c r="AN1337" s="7" t="str">
        <f aca="false">IF(A1337="","",IF(AND(E1337&lt;&gt;"33 確認済",E1337&lt;&gt;"36 送付中"),1,0))</f>
        <v/>
      </c>
      <c r="AO1337" s="7" t="str">
        <f aca="false">IF(A1337="","",IF(AG1337&lt;&gt;"",1,0))</f>
        <v/>
      </c>
    </row>
    <row r="1338" customFormat="false" ht="15" hidden="false" customHeight="false" outlineLevel="0" collapsed="false">
      <c r="AL1338" s="7" t="str">
        <f aca="false">IF(A1338="","",IF(COUNTIF(A1338:A$2001,A1338)=1,1,0))</f>
        <v/>
      </c>
      <c r="AM1338" s="7" t="str">
        <f aca="true">IF(I1338="","",TODAY()-I1338)</f>
        <v/>
      </c>
      <c r="AN1338" s="7" t="str">
        <f aca="false">IF(A1338="","",IF(AND(E1338&lt;&gt;"33 確認済",E1338&lt;&gt;"36 送付中"),1,0))</f>
        <v/>
      </c>
      <c r="AO1338" s="7" t="str">
        <f aca="false">IF(A1338="","",IF(AG1338&lt;&gt;"",1,0))</f>
        <v/>
      </c>
    </row>
    <row r="1339" customFormat="false" ht="15" hidden="false" customHeight="false" outlineLevel="0" collapsed="false">
      <c r="AL1339" s="7" t="str">
        <f aca="false">IF(A1339="","",IF(COUNTIF(A1339:A$2001,A1339)=1,1,0))</f>
        <v/>
      </c>
      <c r="AM1339" s="7" t="str">
        <f aca="true">IF(I1339="","",TODAY()-I1339)</f>
        <v/>
      </c>
      <c r="AN1339" s="7" t="str">
        <f aca="false">IF(A1339="","",IF(AND(E1339&lt;&gt;"33 確認済",E1339&lt;&gt;"36 送付中"),1,0))</f>
        <v/>
      </c>
      <c r="AO1339" s="7" t="str">
        <f aca="false">IF(A1339="","",IF(AG1339&lt;&gt;"",1,0))</f>
        <v/>
      </c>
    </row>
    <row r="1340" customFormat="false" ht="15" hidden="false" customHeight="false" outlineLevel="0" collapsed="false">
      <c r="AL1340" s="7" t="str">
        <f aca="false">IF(A1340="","",IF(COUNTIF(A1340:A$2001,A1340)=1,1,0))</f>
        <v/>
      </c>
      <c r="AM1340" s="7" t="str">
        <f aca="true">IF(I1340="","",TODAY()-I1340)</f>
        <v/>
      </c>
      <c r="AN1340" s="7" t="str">
        <f aca="false">IF(A1340="","",IF(AND(E1340&lt;&gt;"33 確認済",E1340&lt;&gt;"36 送付中"),1,0))</f>
        <v/>
      </c>
      <c r="AO1340" s="7" t="str">
        <f aca="false">IF(A1340="","",IF(AG1340&lt;&gt;"",1,0))</f>
        <v/>
      </c>
    </row>
    <row r="1341" customFormat="false" ht="15" hidden="false" customHeight="false" outlineLevel="0" collapsed="false">
      <c r="AL1341" s="7" t="str">
        <f aca="false">IF(A1341="","",IF(COUNTIF(A1341:A$2001,A1341)=1,1,0))</f>
        <v/>
      </c>
      <c r="AM1341" s="7" t="str">
        <f aca="true">IF(I1341="","",TODAY()-I1341)</f>
        <v/>
      </c>
      <c r="AN1341" s="7" t="str">
        <f aca="false">IF(A1341="","",IF(AND(E1341&lt;&gt;"33 確認済",E1341&lt;&gt;"36 送付中"),1,0))</f>
        <v/>
      </c>
      <c r="AO1341" s="7" t="str">
        <f aca="false">IF(A1341="","",IF(AG1341&lt;&gt;"",1,0))</f>
        <v/>
      </c>
    </row>
    <row r="1342" customFormat="false" ht="15" hidden="false" customHeight="false" outlineLevel="0" collapsed="false">
      <c r="AL1342" s="7" t="str">
        <f aca="false">IF(A1342="","",IF(COUNTIF(A1342:A$2001,A1342)=1,1,0))</f>
        <v/>
      </c>
      <c r="AM1342" s="7" t="str">
        <f aca="true">IF(I1342="","",TODAY()-I1342)</f>
        <v/>
      </c>
      <c r="AN1342" s="7" t="str">
        <f aca="false">IF(A1342="","",IF(AND(E1342&lt;&gt;"33 確認済",E1342&lt;&gt;"36 送付中"),1,0))</f>
        <v/>
      </c>
      <c r="AO1342" s="7" t="str">
        <f aca="false">IF(A1342="","",IF(AG1342&lt;&gt;"",1,0))</f>
        <v/>
      </c>
    </row>
    <row r="1343" customFormat="false" ht="15" hidden="false" customHeight="false" outlineLevel="0" collapsed="false">
      <c r="AL1343" s="7" t="str">
        <f aca="false">IF(A1343="","",IF(COUNTIF(A1343:A$2001,A1343)=1,1,0))</f>
        <v/>
      </c>
      <c r="AM1343" s="7" t="str">
        <f aca="true">IF(I1343="","",TODAY()-I1343)</f>
        <v/>
      </c>
      <c r="AN1343" s="7" t="str">
        <f aca="false">IF(A1343="","",IF(AND(E1343&lt;&gt;"33 確認済",E1343&lt;&gt;"36 送付中"),1,0))</f>
        <v/>
      </c>
      <c r="AO1343" s="7" t="str">
        <f aca="false">IF(A1343="","",IF(AG1343&lt;&gt;"",1,0))</f>
        <v/>
      </c>
    </row>
    <row r="1344" customFormat="false" ht="15" hidden="false" customHeight="false" outlineLevel="0" collapsed="false">
      <c r="AL1344" s="7" t="str">
        <f aca="false">IF(A1344="","",IF(COUNTIF(A1344:A$2001,A1344)=1,1,0))</f>
        <v/>
      </c>
      <c r="AM1344" s="7" t="str">
        <f aca="true">IF(I1344="","",TODAY()-I1344)</f>
        <v/>
      </c>
      <c r="AN1344" s="7" t="str">
        <f aca="false">IF(A1344="","",IF(AND(E1344&lt;&gt;"33 確認済",E1344&lt;&gt;"36 送付中"),1,0))</f>
        <v/>
      </c>
      <c r="AO1344" s="7" t="str">
        <f aca="false">IF(A1344="","",IF(AG1344&lt;&gt;"",1,0))</f>
        <v/>
      </c>
    </row>
    <row r="1345" customFormat="false" ht="15" hidden="false" customHeight="false" outlineLevel="0" collapsed="false">
      <c r="AL1345" s="7" t="str">
        <f aca="false">IF(A1345="","",IF(COUNTIF(A1345:A$2001,A1345)=1,1,0))</f>
        <v/>
      </c>
      <c r="AM1345" s="7" t="str">
        <f aca="true">IF(I1345="","",TODAY()-I1345)</f>
        <v/>
      </c>
      <c r="AN1345" s="7" t="str">
        <f aca="false">IF(A1345="","",IF(AND(E1345&lt;&gt;"33 確認済",E1345&lt;&gt;"36 送付中"),1,0))</f>
        <v/>
      </c>
      <c r="AO1345" s="7" t="str">
        <f aca="false">IF(A1345="","",IF(AG1345&lt;&gt;"",1,0))</f>
        <v/>
      </c>
    </row>
    <row r="1346" customFormat="false" ht="15" hidden="false" customHeight="false" outlineLevel="0" collapsed="false">
      <c r="AL1346" s="7" t="str">
        <f aca="false">IF(A1346="","",IF(COUNTIF(A1346:A$2001,A1346)=1,1,0))</f>
        <v/>
      </c>
      <c r="AM1346" s="7" t="str">
        <f aca="true">IF(I1346="","",TODAY()-I1346)</f>
        <v/>
      </c>
      <c r="AN1346" s="7" t="str">
        <f aca="false">IF(A1346="","",IF(AND(E1346&lt;&gt;"33 確認済",E1346&lt;&gt;"36 送付中"),1,0))</f>
        <v/>
      </c>
      <c r="AO1346" s="7" t="str">
        <f aca="false">IF(A1346="","",IF(AG1346&lt;&gt;"",1,0))</f>
        <v/>
      </c>
    </row>
    <row r="1347" customFormat="false" ht="15" hidden="false" customHeight="false" outlineLevel="0" collapsed="false">
      <c r="AL1347" s="7" t="str">
        <f aca="false">IF(A1347="","",IF(COUNTIF(A1347:A$2001,A1347)=1,1,0))</f>
        <v/>
      </c>
      <c r="AM1347" s="7" t="str">
        <f aca="true">IF(I1347="","",TODAY()-I1347)</f>
        <v/>
      </c>
      <c r="AN1347" s="7" t="str">
        <f aca="false">IF(A1347="","",IF(AND(E1347&lt;&gt;"33 確認済",E1347&lt;&gt;"36 送付中"),1,0))</f>
        <v/>
      </c>
      <c r="AO1347" s="7" t="str">
        <f aca="false">IF(A1347="","",IF(AG1347&lt;&gt;"",1,0))</f>
        <v/>
      </c>
    </row>
    <row r="1348" customFormat="false" ht="15" hidden="false" customHeight="false" outlineLevel="0" collapsed="false">
      <c r="AL1348" s="7" t="str">
        <f aca="false">IF(A1348="","",IF(COUNTIF(A1348:A$2001,A1348)=1,1,0))</f>
        <v/>
      </c>
      <c r="AM1348" s="7" t="str">
        <f aca="true">IF(I1348="","",TODAY()-I1348)</f>
        <v/>
      </c>
      <c r="AN1348" s="7" t="str">
        <f aca="false">IF(A1348="","",IF(AND(E1348&lt;&gt;"33 確認済",E1348&lt;&gt;"36 送付中"),1,0))</f>
        <v/>
      </c>
      <c r="AO1348" s="7" t="str">
        <f aca="false">IF(A1348="","",IF(AG1348&lt;&gt;"",1,0))</f>
        <v/>
      </c>
    </row>
    <row r="1349" customFormat="false" ht="15" hidden="false" customHeight="false" outlineLevel="0" collapsed="false">
      <c r="AL1349" s="7" t="str">
        <f aca="false">IF(A1349="","",IF(COUNTIF(A1349:A$2001,A1349)=1,1,0))</f>
        <v/>
      </c>
      <c r="AM1349" s="7" t="str">
        <f aca="true">IF(I1349="","",TODAY()-I1349)</f>
        <v/>
      </c>
      <c r="AN1349" s="7" t="str">
        <f aca="false">IF(A1349="","",IF(AND(E1349&lt;&gt;"33 確認済",E1349&lt;&gt;"36 送付中"),1,0))</f>
        <v/>
      </c>
      <c r="AO1349" s="7" t="str">
        <f aca="false">IF(A1349="","",IF(AG1349&lt;&gt;"",1,0))</f>
        <v/>
      </c>
    </row>
    <row r="1350" customFormat="false" ht="15" hidden="false" customHeight="false" outlineLevel="0" collapsed="false">
      <c r="AL1350" s="7" t="str">
        <f aca="false">IF(A1350="","",IF(COUNTIF(A1350:A$2001,A1350)=1,1,0))</f>
        <v/>
      </c>
      <c r="AM1350" s="7" t="str">
        <f aca="true">IF(I1350="","",TODAY()-I1350)</f>
        <v/>
      </c>
      <c r="AN1350" s="7" t="str">
        <f aca="false">IF(A1350="","",IF(AND(E1350&lt;&gt;"33 確認済",E1350&lt;&gt;"36 送付中"),1,0))</f>
        <v/>
      </c>
      <c r="AO1350" s="7" t="str">
        <f aca="false">IF(A1350="","",IF(AG1350&lt;&gt;"",1,0))</f>
        <v/>
      </c>
    </row>
    <row r="1351" customFormat="false" ht="15" hidden="false" customHeight="false" outlineLevel="0" collapsed="false">
      <c r="AL1351" s="7" t="str">
        <f aca="false">IF(A1351="","",IF(COUNTIF(A1351:A$2001,A1351)=1,1,0))</f>
        <v/>
      </c>
      <c r="AM1351" s="7" t="str">
        <f aca="true">IF(I1351="","",TODAY()-I1351)</f>
        <v/>
      </c>
      <c r="AN1351" s="7" t="str">
        <f aca="false">IF(A1351="","",IF(AND(E1351&lt;&gt;"33 確認済",E1351&lt;&gt;"36 送付中"),1,0))</f>
        <v/>
      </c>
      <c r="AO1351" s="7" t="str">
        <f aca="false">IF(A1351="","",IF(AG1351&lt;&gt;"",1,0))</f>
        <v/>
      </c>
    </row>
    <row r="1352" customFormat="false" ht="15" hidden="false" customHeight="false" outlineLevel="0" collapsed="false">
      <c r="AL1352" s="7" t="str">
        <f aca="false">IF(A1352="","",IF(COUNTIF(A1352:A$2001,A1352)=1,1,0))</f>
        <v/>
      </c>
      <c r="AM1352" s="7" t="str">
        <f aca="true">IF(I1352="","",TODAY()-I1352)</f>
        <v/>
      </c>
      <c r="AN1352" s="7" t="str">
        <f aca="false">IF(A1352="","",IF(AND(E1352&lt;&gt;"33 確認済",E1352&lt;&gt;"36 送付中"),1,0))</f>
        <v/>
      </c>
      <c r="AO1352" s="7" t="str">
        <f aca="false">IF(A1352="","",IF(AG1352&lt;&gt;"",1,0))</f>
        <v/>
      </c>
    </row>
    <row r="1353" customFormat="false" ht="15" hidden="false" customHeight="false" outlineLevel="0" collapsed="false">
      <c r="AL1353" s="7" t="str">
        <f aca="false">IF(A1353="","",IF(COUNTIF(A1353:A$2001,A1353)=1,1,0))</f>
        <v/>
      </c>
      <c r="AM1353" s="7" t="str">
        <f aca="true">IF(I1353="","",TODAY()-I1353)</f>
        <v/>
      </c>
      <c r="AN1353" s="7" t="str">
        <f aca="false">IF(A1353="","",IF(AND(E1353&lt;&gt;"33 確認済",E1353&lt;&gt;"36 送付中"),1,0))</f>
        <v/>
      </c>
      <c r="AO1353" s="7" t="str">
        <f aca="false">IF(A1353="","",IF(AG1353&lt;&gt;"",1,0))</f>
        <v/>
      </c>
    </row>
    <row r="1354" customFormat="false" ht="15" hidden="false" customHeight="false" outlineLevel="0" collapsed="false">
      <c r="AL1354" s="7" t="str">
        <f aca="false">IF(A1354="","",IF(COUNTIF(A1354:A$2001,A1354)=1,1,0))</f>
        <v/>
      </c>
      <c r="AM1354" s="7" t="str">
        <f aca="true">IF(I1354="","",TODAY()-I1354)</f>
        <v/>
      </c>
      <c r="AN1354" s="7" t="str">
        <f aca="false">IF(A1354="","",IF(AND(E1354&lt;&gt;"33 確認済",E1354&lt;&gt;"36 送付中"),1,0))</f>
        <v/>
      </c>
      <c r="AO1354" s="7" t="str">
        <f aca="false">IF(A1354="","",IF(AG1354&lt;&gt;"",1,0))</f>
        <v/>
      </c>
    </row>
    <row r="1355" customFormat="false" ht="15" hidden="false" customHeight="false" outlineLevel="0" collapsed="false">
      <c r="AL1355" s="7" t="str">
        <f aca="false">IF(A1355="","",IF(COUNTIF(A1355:A$2001,A1355)=1,1,0))</f>
        <v/>
      </c>
      <c r="AM1355" s="7" t="str">
        <f aca="true">IF(I1355="","",TODAY()-I1355)</f>
        <v/>
      </c>
      <c r="AN1355" s="7" t="str">
        <f aca="false">IF(A1355="","",IF(AND(E1355&lt;&gt;"33 確認済",E1355&lt;&gt;"36 送付中"),1,0))</f>
        <v/>
      </c>
      <c r="AO1355" s="7" t="str">
        <f aca="false">IF(A1355="","",IF(AG1355&lt;&gt;"",1,0))</f>
        <v/>
      </c>
    </row>
    <row r="1356" customFormat="false" ht="15" hidden="false" customHeight="false" outlineLevel="0" collapsed="false">
      <c r="AL1356" s="7" t="str">
        <f aca="false">IF(A1356="","",IF(COUNTIF(A1356:A$2001,A1356)=1,1,0))</f>
        <v/>
      </c>
      <c r="AM1356" s="7" t="str">
        <f aca="true">IF(I1356="","",TODAY()-I1356)</f>
        <v/>
      </c>
      <c r="AN1356" s="7" t="str">
        <f aca="false">IF(A1356="","",IF(AND(E1356&lt;&gt;"33 確認済",E1356&lt;&gt;"36 送付中"),1,0))</f>
        <v/>
      </c>
      <c r="AO1356" s="7" t="str">
        <f aca="false">IF(A1356="","",IF(AG1356&lt;&gt;"",1,0))</f>
        <v/>
      </c>
    </row>
    <row r="1357" customFormat="false" ht="15" hidden="false" customHeight="false" outlineLevel="0" collapsed="false">
      <c r="AL1357" s="7" t="str">
        <f aca="false">IF(A1357="","",IF(COUNTIF(A1357:A$2001,A1357)=1,1,0))</f>
        <v/>
      </c>
      <c r="AM1357" s="7" t="str">
        <f aca="true">IF(I1357="","",TODAY()-I1357)</f>
        <v/>
      </c>
      <c r="AN1357" s="7" t="str">
        <f aca="false">IF(A1357="","",IF(AND(E1357&lt;&gt;"33 確認済",E1357&lt;&gt;"36 送付中"),1,0))</f>
        <v/>
      </c>
      <c r="AO1357" s="7" t="str">
        <f aca="false">IF(A1357="","",IF(AG1357&lt;&gt;"",1,0))</f>
        <v/>
      </c>
    </row>
    <row r="1358" customFormat="false" ht="15" hidden="false" customHeight="false" outlineLevel="0" collapsed="false">
      <c r="AL1358" s="7" t="str">
        <f aca="false">IF(A1358="","",IF(COUNTIF(A1358:A$2001,A1358)=1,1,0))</f>
        <v/>
      </c>
      <c r="AM1358" s="7" t="str">
        <f aca="true">IF(I1358="","",TODAY()-I1358)</f>
        <v/>
      </c>
      <c r="AN1358" s="7" t="str">
        <f aca="false">IF(A1358="","",IF(AND(E1358&lt;&gt;"33 確認済",E1358&lt;&gt;"36 送付中"),1,0))</f>
        <v/>
      </c>
      <c r="AO1358" s="7" t="str">
        <f aca="false">IF(A1358="","",IF(AG1358&lt;&gt;"",1,0))</f>
        <v/>
      </c>
    </row>
    <row r="1359" customFormat="false" ht="15" hidden="false" customHeight="false" outlineLevel="0" collapsed="false">
      <c r="AL1359" s="7" t="str">
        <f aca="false">IF(A1359="","",IF(COUNTIF(A1359:A$2001,A1359)=1,1,0))</f>
        <v/>
      </c>
      <c r="AM1359" s="7" t="str">
        <f aca="true">IF(I1359="","",TODAY()-I1359)</f>
        <v/>
      </c>
      <c r="AN1359" s="7" t="str">
        <f aca="false">IF(A1359="","",IF(AND(E1359&lt;&gt;"33 確認済",E1359&lt;&gt;"36 送付中"),1,0))</f>
        <v/>
      </c>
      <c r="AO1359" s="7" t="str">
        <f aca="false">IF(A1359="","",IF(AG1359&lt;&gt;"",1,0))</f>
        <v/>
      </c>
    </row>
    <row r="1360" customFormat="false" ht="15" hidden="false" customHeight="false" outlineLevel="0" collapsed="false">
      <c r="AL1360" s="7" t="str">
        <f aca="false">IF(A1360="","",IF(COUNTIF(A1360:A$2001,A1360)=1,1,0))</f>
        <v/>
      </c>
      <c r="AM1360" s="7" t="str">
        <f aca="true">IF(I1360="","",TODAY()-I1360)</f>
        <v/>
      </c>
      <c r="AN1360" s="7" t="str">
        <f aca="false">IF(A1360="","",IF(AND(E1360&lt;&gt;"33 確認済",E1360&lt;&gt;"36 送付中"),1,0))</f>
        <v/>
      </c>
      <c r="AO1360" s="7" t="str">
        <f aca="false">IF(A1360="","",IF(AG1360&lt;&gt;"",1,0))</f>
        <v/>
      </c>
    </row>
    <row r="1361" customFormat="false" ht="15" hidden="false" customHeight="false" outlineLevel="0" collapsed="false">
      <c r="AL1361" s="7" t="str">
        <f aca="false">IF(A1361="","",IF(COUNTIF(A1361:A$2001,A1361)=1,1,0))</f>
        <v/>
      </c>
      <c r="AM1361" s="7" t="str">
        <f aca="true">IF(I1361="","",TODAY()-I1361)</f>
        <v/>
      </c>
      <c r="AN1361" s="7" t="str">
        <f aca="false">IF(A1361="","",IF(AND(E1361&lt;&gt;"33 確認済",E1361&lt;&gt;"36 送付中"),1,0))</f>
        <v/>
      </c>
      <c r="AO1361" s="7" t="str">
        <f aca="false">IF(A1361="","",IF(AG1361&lt;&gt;"",1,0))</f>
        <v/>
      </c>
    </row>
    <row r="1362" customFormat="false" ht="15" hidden="false" customHeight="false" outlineLevel="0" collapsed="false">
      <c r="AL1362" s="7" t="str">
        <f aca="false">IF(A1362="","",IF(COUNTIF(A1362:A$2001,A1362)=1,1,0))</f>
        <v/>
      </c>
      <c r="AM1362" s="7" t="str">
        <f aca="true">IF(I1362="","",TODAY()-I1362)</f>
        <v/>
      </c>
      <c r="AN1362" s="7" t="str">
        <f aca="false">IF(A1362="","",IF(AND(E1362&lt;&gt;"33 確認済",E1362&lt;&gt;"36 送付中"),1,0))</f>
        <v/>
      </c>
      <c r="AO1362" s="7" t="str">
        <f aca="false">IF(A1362="","",IF(AG1362&lt;&gt;"",1,0))</f>
        <v/>
      </c>
    </row>
    <row r="1363" customFormat="false" ht="15" hidden="false" customHeight="false" outlineLevel="0" collapsed="false">
      <c r="AL1363" s="7" t="str">
        <f aca="false">IF(A1363="","",IF(COUNTIF(A1363:A$2001,A1363)=1,1,0))</f>
        <v/>
      </c>
      <c r="AM1363" s="7" t="str">
        <f aca="true">IF(I1363="","",TODAY()-I1363)</f>
        <v/>
      </c>
      <c r="AN1363" s="7" t="str">
        <f aca="false">IF(A1363="","",IF(AND(E1363&lt;&gt;"33 確認済",E1363&lt;&gt;"36 送付中"),1,0))</f>
        <v/>
      </c>
      <c r="AO1363" s="7" t="str">
        <f aca="false">IF(A1363="","",IF(AG1363&lt;&gt;"",1,0))</f>
        <v/>
      </c>
    </row>
    <row r="1364" customFormat="false" ht="15" hidden="false" customHeight="false" outlineLevel="0" collapsed="false">
      <c r="AL1364" s="7" t="str">
        <f aca="false">IF(A1364="","",IF(COUNTIF(A1364:A$2001,A1364)=1,1,0))</f>
        <v/>
      </c>
      <c r="AM1364" s="7" t="str">
        <f aca="true">IF(I1364="","",TODAY()-I1364)</f>
        <v/>
      </c>
      <c r="AN1364" s="7" t="str">
        <f aca="false">IF(A1364="","",IF(AND(E1364&lt;&gt;"33 確認済",E1364&lt;&gt;"36 送付中"),1,0))</f>
        <v/>
      </c>
      <c r="AO1364" s="7" t="str">
        <f aca="false">IF(A1364="","",IF(AG1364&lt;&gt;"",1,0))</f>
        <v/>
      </c>
    </row>
    <row r="1365" customFormat="false" ht="15" hidden="false" customHeight="false" outlineLevel="0" collapsed="false">
      <c r="AL1365" s="7" t="str">
        <f aca="false">IF(A1365="","",IF(COUNTIF(A1365:A$2001,A1365)=1,1,0))</f>
        <v/>
      </c>
      <c r="AM1365" s="7" t="str">
        <f aca="true">IF(I1365="","",TODAY()-I1365)</f>
        <v/>
      </c>
      <c r="AN1365" s="7" t="str">
        <f aca="false">IF(A1365="","",IF(AND(E1365&lt;&gt;"33 確認済",E1365&lt;&gt;"36 送付中"),1,0))</f>
        <v/>
      </c>
      <c r="AO1365" s="7" t="str">
        <f aca="false">IF(A1365="","",IF(AG1365&lt;&gt;"",1,0))</f>
        <v/>
      </c>
    </row>
    <row r="1366" customFormat="false" ht="15" hidden="false" customHeight="false" outlineLevel="0" collapsed="false">
      <c r="AL1366" s="7" t="str">
        <f aca="false">IF(A1366="","",IF(COUNTIF(A1366:A$2001,A1366)=1,1,0))</f>
        <v/>
      </c>
      <c r="AM1366" s="7" t="str">
        <f aca="true">IF(I1366="","",TODAY()-I1366)</f>
        <v/>
      </c>
      <c r="AN1366" s="7" t="str">
        <f aca="false">IF(A1366="","",IF(AND(E1366&lt;&gt;"33 確認済",E1366&lt;&gt;"36 送付中"),1,0))</f>
        <v/>
      </c>
      <c r="AO1366" s="7" t="str">
        <f aca="false">IF(A1366="","",IF(AG1366&lt;&gt;"",1,0))</f>
        <v/>
      </c>
    </row>
    <row r="1367" customFormat="false" ht="15" hidden="false" customHeight="false" outlineLevel="0" collapsed="false">
      <c r="AL1367" s="7" t="str">
        <f aca="false">IF(A1367="","",IF(COUNTIF(A1367:A$2001,A1367)=1,1,0))</f>
        <v/>
      </c>
      <c r="AM1367" s="7" t="str">
        <f aca="true">IF(I1367="","",TODAY()-I1367)</f>
        <v/>
      </c>
      <c r="AN1367" s="7" t="str">
        <f aca="false">IF(A1367="","",IF(AND(E1367&lt;&gt;"33 確認済",E1367&lt;&gt;"36 送付中"),1,0))</f>
        <v/>
      </c>
      <c r="AO1367" s="7" t="str">
        <f aca="false">IF(A1367="","",IF(AG1367&lt;&gt;"",1,0))</f>
        <v/>
      </c>
    </row>
    <row r="1368" customFormat="false" ht="15" hidden="false" customHeight="false" outlineLevel="0" collapsed="false">
      <c r="AL1368" s="7" t="str">
        <f aca="false">IF(A1368="","",IF(COUNTIF(A1368:A$2001,A1368)=1,1,0))</f>
        <v/>
      </c>
      <c r="AM1368" s="7" t="str">
        <f aca="true">IF(I1368="","",TODAY()-I1368)</f>
        <v/>
      </c>
      <c r="AN1368" s="7" t="str">
        <f aca="false">IF(A1368="","",IF(AND(E1368&lt;&gt;"33 確認済",E1368&lt;&gt;"36 送付中"),1,0))</f>
        <v/>
      </c>
      <c r="AO1368" s="7" t="str">
        <f aca="false">IF(A1368="","",IF(AG1368&lt;&gt;"",1,0))</f>
        <v/>
      </c>
    </row>
    <row r="1369" customFormat="false" ht="15" hidden="false" customHeight="false" outlineLevel="0" collapsed="false">
      <c r="AL1369" s="7" t="str">
        <f aca="false">IF(A1369="","",IF(COUNTIF(A1369:A$2001,A1369)=1,1,0))</f>
        <v/>
      </c>
      <c r="AM1369" s="7" t="str">
        <f aca="true">IF(I1369="","",TODAY()-I1369)</f>
        <v/>
      </c>
      <c r="AN1369" s="7" t="str">
        <f aca="false">IF(A1369="","",IF(AND(E1369&lt;&gt;"33 確認済",E1369&lt;&gt;"36 送付中"),1,0))</f>
        <v/>
      </c>
      <c r="AO1369" s="7" t="str">
        <f aca="false">IF(A1369="","",IF(AG1369&lt;&gt;"",1,0))</f>
        <v/>
      </c>
    </row>
    <row r="1370" customFormat="false" ht="15" hidden="false" customHeight="false" outlineLevel="0" collapsed="false">
      <c r="AL1370" s="7" t="str">
        <f aca="false">IF(A1370="","",IF(COUNTIF(A1370:A$2001,A1370)=1,1,0))</f>
        <v/>
      </c>
      <c r="AM1370" s="7" t="str">
        <f aca="true">IF(I1370="","",TODAY()-I1370)</f>
        <v/>
      </c>
      <c r="AN1370" s="7" t="str">
        <f aca="false">IF(A1370="","",IF(AND(E1370&lt;&gt;"33 確認済",E1370&lt;&gt;"36 送付中"),1,0))</f>
        <v/>
      </c>
      <c r="AO1370" s="7" t="str">
        <f aca="false">IF(A1370="","",IF(AG1370&lt;&gt;"",1,0))</f>
        <v/>
      </c>
    </row>
    <row r="1371" customFormat="false" ht="15" hidden="false" customHeight="false" outlineLevel="0" collapsed="false">
      <c r="AL1371" s="7" t="str">
        <f aca="false">IF(A1371="","",IF(COUNTIF(A1371:A$2001,A1371)=1,1,0))</f>
        <v/>
      </c>
      <c r="AM1371" s="7" t="str">
        <f aca="true">IF(I1371="","",TODAY()-I1371)</f>
        <v/>
      </c>
      <c r="AN1371" s="7" t="str">
        <f aca="false">IF(A1371="","",IF(AND(E1371&lt;&gt;"33 確認済",E1371&lt;&gt;"36 送付中"),1,0))</f>
        <v/>
      </c>
      <c r="AO1371" s="7" t="str">
        <f aca="false">IF(A1371="","",IF(AG1371&lt;&gt;"",1,0))</f>
        <v/>
      </c>
    </row>
    <row r="1372" customFormat="false" ht="15" hidden="false" customHeight="false" outlineLevel="0" collapsed="false">
      <c r="AL1372" s="7" t="str">
        <f aca="false">IF(A1372="","",IF(COUNTIF(A1372:A$2001,A1372)=1,1,0))</f>
        <v/>
      </c>
      <c r="AM1372" s="7" t="str">
        <f aca="true">IF(I1372="","",TODAY()-I1372)</f>
        <v/>
      </c>
      <c r="AN1372" s="7" t="str">
        <f aca="false">IF(A1372="","",IF(AND(E1372&lt;&gt;"33 確認済",E1372&lt;&gt;"36 送付中"),1,0))</f>
        <v/>
      </c>
      <c r="AO1372" s="7" t="str">
        <f aca="false">IF(A1372="","",IF(AG1372&lt;&gt;"",1,0))</f>
        <v/>
      </c>
    </row>
    <row r="1373" customFormat="false" ht="15" hidden="false" customHeight="false" outlineLevel="0" collapsed="false">
      <c r="AL1373" s="7" t="str">
        <f aca="false">IF(A1373="","",IF(COUNTIF(A1373:A$2001,A1373)=1,1,0))</f>
        <v/>
      </c>
      <c r="AM1373" s="7" t="str">
        <f aca="true">IF(I1373="","",TODAY()-I1373)</f>
        <v/>
      </c>
      <c r="AN1373" s="7" t="str">
        <f aca="false">IF(A1373="","",IF(AND(E1373&lt;&gt;"33 確認済",E1373&lt;&gt;"36 送付中"),1,0))</f>
        <v/>
      </c>
      <c r="AO1373" s="7" t="str">
        <f aca="false">IF(A1373="","",IF(AG1373&lt;&gt;"",1,0))</f>
        <v/>
      </c>
    </row>
    <row r="1374" customFormat="false" ht="15" hidden="false" customHeight="false" outlineLevel="0" collapsed="false">
      <c r="AL1374" s="7" t="str">
        <f aca="false">IF(A1374="","",IF(COUNTIF(A1374:A$2001,A1374)=1,1,0))</f>
        <v/>
      </c>
      <c r="AM1374" s="7" t="str">
        <f aca="true">IF(I1374="","",TODAY()-I1374)</f>
        <v/>
      </c>
      <c r="AN1374" s="7" t="str">
        <f aca="false">IF(A1374="","",IF(AND(E1374&lt;&gt;"33 確認済",E1374&lt;&gt;"36 送付中"),1,0))</f>
        <v/>
      </c>
      <c r="AO1374" s="7" t="str">
        <f aca="false">IF(A1374="","",IF(AG1374&lt;&gt;"",1,0))</f>
        <v/>
      </c>
    </row>
    <row r="1375" customFormat="false" ht="15" hidden="false" customHeight="false" outlineLevel="0" collapsed="false">
      <c r="AL1375" s="7" t="str">
        <f aca="false">IF(A1375="","",IF(COUNTIF(A1375:A$2001,A1375)=1,1,0))</f>
        <v/>
      </c>
      <c r="AM1375" s="7" t="str">
        <f aca="true">IF(I1375="","",TODAY()-I1375)</f>
        <v/>
      </c>
      <c r="AN1375" s="7" t="str">
        <f aca="false">IF(A1375="","",IF(AND(E1375&lt;&gt;"33 確認済",E1375&lt;&gt;"36 送付中"),1,0))</f>
        <v/>
      </c>
      <c r="AO1375" s="7" t="str">
        <f aca="false">IF(A1375="","",IF(AG1375&lt;&gt;"",1,0))</f>
        <v/>
      </c>
    </row>
    <row r="1376" customFormat="false" ht="15" hidden="false" customHeight="false" outlineLevel="0" collapsed="false">
      <c r="AL1376" s="7" t="str">
        <f aca="false">IF(A1376="","",IF(COUNTIF(A1376:A$2001,A1376)=1,1,0))</f>
        <v/>
      </c>
      <c r="AM1376" s="7" t="str">
        <f aca="true">IF(I1376="","",TODAY()-I1376)</f>
        <v/>
      </c>
      <c r="AN1376" s="7" t="str">
        <f aca="false">IF(A1376="","",IF(AND(E1376&lt;&gt;"33 確認済",E1376&lt;&gt;"36 送付中"),1,0))</f>
        <v/>
      </c>
      <c r="AO1376" s="7" t="str">
        <f aca="false">IF(A1376="","",IF(AG1376&lt;&gt;"",1,0))</f>
        <v/>
      </c>
    </row>
    <row r="1377" customFormat="false" ht="15" hidden="false" customHeight="false" outlineLevel="0" collapsed="false">
      <c r="AL1377" s="7" t="str">
        <f aca="false">IF(A1377="","",IF(COUNTIF(A1377:A$2001,A1377)=1,1,0))</f>
        <v/>
      </c>
      <c r="AM1377" s="7" t="str">
        <f aca="true">IF(I1377="","",TODAY()-I1377)</f>
        <v/>
      </c>
      <c r="AN1377" s="7" t="str">
        <f aca="false">IF(A1377="","",IF(AND(E1377&lt;&gt;"33 確認済",E1377&lt;&gt;"36 送付中"),1,0))</f>
        <v/>
      </c>
      <c r="AO1377" s="7" t="str">
        <f aca="false">IF(A1377="","",IF(AG1377&lt;&gt;"",1,0))</f>
        <v/>
      </c>
    </row>
    <row r="1378" customFormat="false" ht="15" hidden="false" customHeight="false" outlineLevel="0" collapsed="false">
      <c r="AL1378" s="7" t="str">
        <f aca="false">IF(A1378="","",IF(COUNTIF(A1378:A$2001,A1378)=1,1,0))</f>
        <v/>
      </c>
      <c r="AM1378" s="7" t="str">
        <f aca="true">IF(I1378="","",TODAY()-I1378)</f>
        <v/>
      </c>
      <c r="AN1378" s="7" t="str">
        <f aca="false">IF(A1378="","",IF(AND(E1378&lt;&gt;"33 確認済",E1378&lt;&gt;"36 送付中"),1,0))</f>
        <v/>
      </c>
      <c r="AO1378" s="7" t="str">
        <f aca="false">IF(A1378="","",IF(AG1378&lt;&gt;"",1,0))</f>
        <v/>
      </c>
    </row>
    <row r="1379" customFormat="false" ht="15" hidden="false" customHeight="false" outlineLevel="0" collapsed="false">
      <c r="AL1379" s="7" t="str">
        <f aca="false">IF(A1379="","",IF(COUNTIF(A1379:A$2001,A1379)=1,1,0))</f>
        <v/>
      </c>
      <c r="AM1379" s="7" t="str">
        <f aca="true">IF(I1379="","",TODAY()-I1379)</f>
        <v/>
      </c>
      <c r="AN1379" s="7" t="str">
        <f aca="false">IF(A1379="","",IF(AND(E1379&lt;&gt;"33 確認済",E1379&lt;&gt;"36 送付中"),1,0))</f>
        <v/>
      </c>
      <c r="AO1379" s="7" t="str">
        <f aca="false">IF(A1379="","",IF(AG1379&lt;&gt;"",1,0))</f>
        <v/>
      </c>
    </row>
    <row r="1380" customFormat="false" ht="15" hidden="false" customHeight="false" outlineLevel="0" collapsed="false">
      <c r="AL1380" s="7" t="str">
        <f aca="false">IF(A1380="","",IF(COUNTIF(A1380:A$2001,A1380)=1,1,0))</f>
        <v/>
      </c>
      <c r="AM1380" s="7" t="str">
        <f aca="true">IF(I1380="","",TODAY()-I1380)</f>
        <v/>
      </c>
      <c r="AN1380" s="7" t="str">
        <f aca="false">IF(A1380="","",IF(AND(E1380&lt;&gt;"33 確認済",E1380&lt;&gt;"36 送付中"),1,0))</f>
        <v/>
      </c>
      <c r="AO1380" s="7" t="str">
        <f aca="false">IF(A1380="","",IF(AG1380&lt;&gt;"",1,0))</f>
        <v/>
      </c>
    </row>
    <row r="1381" customFormat="false" ht="15" hidden="false" customHeight="false" outlineLevel="0" collapsed="false">
      <c r="AL1381" s="7" t="str">
        <f aca="false">IF(A1381="","",IF(COUNTIF(A1381:A$2001,A1381)=1,1,0))</f>
        <v/>
      </c>
      <c r="AM1381" s="7" t="str">
        <f aca="true">IF(I1381="","",TODAY()-I1381)</f>
        <v/>
      </c>
      <c r="AN1381" s="7" t="str">
        <f aca="false">IF(A1381="","",IF(AND(E1381&lt;&gt;"33 確認済",E1381&lt;&gt;"36 送付中"),1,0))</f>
        <v/>
      </c>
      <c r="AO1381" s="7" t="str">
        <f aca="false">IF(A1381="","",IF(AG1381&lt;&gt;"",1,0))</f>
        <v/>
      </c>
    </row>
    <row r="1382" customFormat="false" ht="15" hidden="false" customHeight="false" outlineLevel="0" collapsed="false">
      <c r="AL1382" s="7" t="str">
        <f aca="false">IF(A1382="","",IF(COUNTIF(A1382:A$2001,A1382)=1,1,0))</f>
        <v/>
      </c>
      <c r="AM1382" s="7" t="str">
        <f aca="true">IF(I1382="","",TODAY()-I1382)</f>
        <v/>
      </c>
      <c r="AN1382" s="7" t="str">
        <f aca="false">IF(A1382="","",IF(AND(E1382&lt;&gt;"33 確認済",E1382&lt;&gt;"36 送付中"),1,0))</f>
        <v/>
      </c>
      <c r="AO1382" s="7" t="str">
        <f aca="false">IF(A1382="","",IF(AG1382&lt;&gt;"",1,0))</f>
        <v/>
      </c>
    </row>
    <row r="1383" customFormat="false" ht="15" hidden="false" customHeight="false" outlineLevel="0" collapsed="false">
      <c r="AL1383" s="7" t="str">
        <f aca="false">IF(A1383="","",IF(COUNTIF(A1383:A$2001,A1383)=1,1,0))</f>
        <v/>
      </c>
      <c r="AM1383" s="7" t="str">
        <f aca="true">IF(I1383="","",TODAY()-I1383)</f>
        <v/>
      </c>
      <c r="AN1383" s="7" t="str">
        <f aca="false">IF(A1383="","",IF(AND(E1383&lt;&gt;"33 確認済",E1383&lt;&gt;"36 送付中"),1,0))</f>
        <v/>
      </c>
      <c r="AO1383" s="7" t="str">
        <f aca="false">IF(A1383="","",IF(AG1383&lt;&gt;"",1,0))</f>
        <v/>
      </c>
    </row>
    <row r="1384" customFormat="false" ht="15" hidden="false" customHeight="false" outlineLevel="0" collapsed="false">
      <c r="AL1384" s="7" t="str">
        <f aca="false">IF(A1384="","",IF(COUNTIF(A1384:A$2001,A1384)=1,1,0))</f>
        <v/>
      </c>
      <c r="AM1384" s="7" t="str">
        <f aca="true">IF(I1384="","",TODAY()-I1384)</f>
        <v/>
      </c>
      <c r="AN1384" s="7" t="str">
        <f aca="false">IF(A1384="","",IF(AND(E1384&lt;&gt;"33 確認済",E1384&lt;&gt;"36 送付中"),1,0))</f>
        <v/>
      </c>
      <c r="AO1384" s="7" t="str">
        <f aca="false">IF(A1384="","",IF(AG1384&lt;&gt;"",1,0))</f>
        <v/>
      </c>
    </row>
    <row r="1385" customFormat="false" ht="15" hidden="false" customHeight="false" outlineLevel="0" collapsed="false">
      <c r="AL1385" s="7" t="str">
        <f aca="false">IF(A1385="","",IF(COUNTIF(A1385:A$2001,A1385)=1,1,0))</f>
        <v/>
      </c>
      <c r="AM1385" s="7" t="str">
        <f aca="true">IF(I1385="","",TODAY()-I1385)</f>
        <v/>
      </c>
      <c r="AN1385" s="7" t="str">
        <f aca="false">IF(A1385="","",IF(AND(E1385&lt;&gt;"33 確認済",E1385&lt;&gt;"36 送付中"),1,0))</f>
        <v/>
      </c>
      <c r="AO1385" s="7" t="str">
        <f aca="false">IF(A1385="","",IF(AG1385&lt;&gt;"",1,0))</f>
        <v/>
      </c>
    </row>
    <row r="1386" customFormat="false" ht="15" hidden="false" customHeight="false" outlineLevel="0" collapsed="false">
      <c r="AL1386" s="7" t="str">
        <f aca="false">IF(A1386="","",IF(COUNTIF(A1386:A$2001,A1386)=1,1,0))</f>
        <v/>
      </c>
      <c r="AM1386" s="7" t="str">
        <f aca="true">IF(I1386="","",TODAY()-I1386)</f>
        <v/>
      </c>
      <c r="AN1386" s="7" t="str">
        <f aca="false">IF(A1386="","",IF(AND(E1386&lt;&gt;"33 確認済",E1386&lt;&gt;"36 送付中"),1,0))</f>
        <v/>
      </c>
      <c r="AO1386" s="7" t="str">
        <f aca="false">IF(A1386="","",IF(AG1386&lt;&gt;"",1,0))</f>
        <v/>
      </c>
    </row>
    <row r="1387" customFormat="false" ht="15" hidden="false" customHeight="false" outlineLevel="0" collapsed="false">
      <c r="AL1387" s="7" t="str">
        <f aca="false">IF(A1387="","",IF(COUNTIF(A1387:A$2001,A1387)=1,1,0))</f>
        <v/>
      </c>
      <c r="AM1387" s="7" t="str">
        <f aca="true">IF(I1387="","",TODAY()-I1387)</f>
        <v/>
      </c>
      <c r="AN1387" s="7" t="str">
        <f aca="false">IF(A1387="","",IF(AND(E1387&lt;&gt;"33 確認済",E1387&lt;&gt;"36 送付中"),1,0))</f>
        <v/>
      </c>
      <c r="AO1387" s="7" t="str">
        <f aca="false">IF(A1387="","",IF(AG1387&lt;&gt;"",1,0))</f>
        <v/>
      </c>
    </row>
    <row r="1388" customFormat="false" ht="15" hidden="false" customHeight="false" outlineLevel="0" collapsed="false">
      <c r="AL1388" s="7" t="str">
        <f aca="false">IF(A1388="","",IF(COUNTIF(A1388:A$2001,A1388)=1,1,0))</f>
        <v/>
      </c>
      <c r="AM1388" s="7" t="str">
        <f aca="true">IF(I1388="","",TODAY()-I1388)</f>
        <v/>
      </c>
      <c r="AN1388" s="7" t="str">
        <f aca="false">IF(A1388="","",IF(AND(E1388&lt;&gt;"33 確認済",E1388&lt;&gt;"36 送付中"),1,0))</f>
        <v/>
      </c>
      <c r="AO1388" s="7" t="str">
        <f aca="false">IF(A1388="","",IF(AG1388&lt;&gt;"",1,0))</f>
        <v/>
      </c>
    </row>
    <row r="1389" customFormat="false" ht="15" hidden="false" customHeight="false" outlineLevel="0" collapsed="false">
      <c r="AL1389" s="7" t="str">
        <f aca="false">IF(A1389="","",IF(COUNTIF(A1389:A$2001,A1389)=1,1,0))</f>
        <v/>
      </c>
      <c r="AM1389" s="7" t="str">
        <f aca="true">IF(I1389="","",TODAY()-I1389)</f>
        <v/>
      </c>
      <c r="AN1389" s="7" t="str">
        <f aca="false">IF(A1389="","",IF(AND(E1389&lt;&gt;"33 確認済",E1389&lt;&gt;"36 送付中"),1,0))</f>
        <v/>
      </c>
      <c r="AO1389" s="7" t="str">
        <f aca="false">IF(A1389="","",IF(AG1389&lt;&gt;"",1,0))</f>
        <v/>
      </c>
    </row>
    <row r="1390" customFormat="false" ht="15" hidden="false" customHeight="false" outlineLevel="0" collapsed="false">
      <c r="AL1390" s="7" t="str">
        <f aca="false">IF(A1390="","",IF(COUNTIF(A1390:A$2001,A1390)=1,1,0))</f>
        <v/>
      </c>
      <c r="AM1390" s="7" t="str">
        <f aca="true">IF(I1390="","",TODAY()-I1390)</f>
        <v/>
      </c>
      <c r="AN1390" s="7" t="str">
        <f aca="false">IF(A1390="","",IF(AND(E1390&lt;&gt;"33 確認済",E1390&lt;&gt;"36 送付中"),1,0))</f>
        <v/>
      </c>
      <c r="AO1390" s="7" t="str">
        <f aca="false">IF(A1390="","",IF(AG1390&lt;&gt;"",1,0))</f>
        <v/>
      </c>
    </row>
    <row r="1391" customFormat="false" ht="15" hidden="false" customHeight="false" outlineLevel="0" collapsed="false">
      <c r="AL1391" s="7" t="str">
        <f aca="false">IF(A1391="","",IF(COUNTIF(A1391:A$2001,A1391)=1,1,0))</f>
        <v/>
      </c>
      <c r="AM1391" s="7" t="str">
        <f aca="true">IF(I1391="","",TODAY()-I1391)</f>
        <v/>
      </c>
      <c r="AN1391" s="7" t="str">
        <f aca="false">IF(A1391="","",IF(AND(E1391&lt;&gt;"33 確認済",E1391&lt;&gt;"36 送付中"),1,0))</f>
        <v/>
      </c>
      <c r="AO1391" s="7" t="str">
        <f aca="false">IF(A1391="","",IF(AG1391&lt;&gt;"",1,0))</f>
        <v/>
      </c>
    </row>
    <row r="1392" customFormat="false" ht="15" hidden="false" customHeight="false" outlineLevel="0" collapsed="false">
      <c r="AL1392" s="7" t="str">
        <f aca="false">IF(A1392="","",IF(COUNTIF(A1392:A$2001,A1392)=1,1,0))</f>
        <v/>
      </c>
      <c r="AM1392" s="7" t="str">
        <f aca="true">IF(I1392="","",TODAY()-I1392)</f>
        <v/>
      </c>
      <c r="AN1392" s="7" t="str">
        <f aca="false">IF(A1392="","",IF(AND(E1392&lt;&gt;"33 確認済",E1392&lt;&gt;"36 送付中"),1,0))</f>
        <v/>
      </c>
      <c r="AO1392" s="7" t="str">
        <f aca="false">IF(A1392="","",IF(AG1392&lt;&gt;"",1,0))</f>
        <v/>
      </c>
    </row>
    <row r="1393" customFormat="false" ht="15" hidden="false" customHeight="false" outlineLevel="0" collapsed="false">
      <c r="AL1393" s="7" t="str">
        <f aca="false">IF(A1393="","",IF(COUNTIF(A1393:A$2001,A1393)=1,1,0))</f>
        <v/>
      </c>
      <c r="AM1393" s="7" t="str">
        <f aca="true">IF(I1393="","",TODAY()-I1393)</f>
        <v/>
      </c>
      <c r="AN1393" s="7" t="str">
        <f aca="false">IF(A1393="","",IF(AND(E1393&lt;&gt;"33 確認済",E1393&lt;&gt;"36 送付中"),1,0))</f>
        <v/>
      </c>
      <c r="AO1393" s="7" t="str">
        <f aca="false">IF(A1393="","",IF(AG1393&lt;&gt;"",1,0))</f>
        <v/>
      </c>
    </row>
    <row r="1394" customFormat="false" ht="15" hidden="false" customHeight="false" outlineLevel="0" collapsed="false">
      <c r="AL1394" s="7" t="str">
        <f aca="false">IF(A1394="","",IF(COUNTIF(A1394:A$2001,A1394)=1,1,0))</f>
        <v/>
      </c>
      <c r="AM1394" s="7" t="str">
        <f aca="true">IF(I1394="","",TODAY()-I1394)</f>
        <v/>
      </c>
      <c r="AN1394" s="7" t="str">
        <f aca="false">IF(A1394="","",IF(AND(E1394&lt;&gt;"33 確認済",E1394&lt;&gt;"36 送付中"),1,0))</f>
        <v/>
      </c>
      <c r="AO1394" s="7" t="str">
        <f aca="false">IF(A1394="","",IF(AG1394&lt;&gt;"",1,0))</f>
        <v/>
      </c>
    </row>
    <row r="1395" customFormat="false" ht="15" hidden="false" customHeight="false" outlineLevel="0" collapsed="false">
      <c r="AL1395" s="7" t="str">
        <f aca="false">IF(A1395="","",IF(COUNTIF(A1395:A$2001,A1395)=1,1,0))</f>
        <v/>
      </c>
      <c r="AM1395" s="7" t="str">
        <f aca="true">IF(I1395="","",TODAY()-I1395)</f>
        <v/>
      </c>
      <c r="AN1395" s="7" t="str">
        <f aca="false">IF(A1395="","",IF(AND(E1395&lt;&gt;"33 確認済",E1395&lt;&gt;"36 送付中"),1,0))</f>
        <v/>
      </c>
      <c r="AO1395" s="7" t="str">
        <f aca="false">IF(A1395="","",IF(AG1395&lt;&gt;"",1,0))</f>
        <v/>
      </c>
    </row>
    <row r="1396" customFormat="false" ht="15" hidden="false" customHeight="false" outlineLevel="0" collapsed="false">
      <c r="AL1396" s="7" t="str">
        <f aca="false">IF(A1396="","",IF(COUNTIF(A1396:A$2001,A1396)=1,1,0))</f>
        <v/>
      </c>
      <c r="AM1396" s="7" t="str">
        <f aca="true">IF(I1396="","",TODAY()-I1396)</f>
        <v/>
      </c>
      <c r="AN1396" s="7" t="str">
        <f aca="false">IF(A1396="","",IF(AND(E1396&lt;&gt;"33 確認済",E1396&lt;&gt;"36 送付中"),1,0))</f>
        <v/>
      </c>
      <c r="AO1396" s="7" t="str">
        <f aca="false">IF(A1396="","",IF(AG1396&lt;&gt;"",1,0))</f>
        <v/>
      </c>
    </row>
    <row r="1397" customFormat="false" ht="15" hidden="false" customHeight="false" outlineLevel="0" collapsed="false">
      <c r="AL1397" s="7" t="str">
        <f aca="false">IF(A1397="","",IF(COUNTIF(A1397:A$2001,A1397)=1,1,0))</f>
        <v/>
      </c>
      <c r="AM1397" s="7" t="str">
        <f aca="true">IF(I1397="","",TODAY()-I1397)</f>
        <v/>
      </c>
      <c r="AN1397" s="7" t="str">
        <f aca="false">IF(A1397="","",IF(AND(E1397&lt;&gt;"33 確認済",E1397&lt;&gt;"36 送付中"),1,0))</f>
        <v/>
      </c>
      <c r="AO1397" s="7" t="str">
        <f aca="false">IF(A1397="","",IF(AG1397&lt;&gt;"",1,0))</f>
        <v/>
      </c>
    </row>
    <row r="1398" customFormat="false" ht="15" hidden="false" customHeight="false" outlineLevel="0" collapsed="false">
      <c r="AL1398" s="7" t="str">
        <f aca="false">IF(A1398="","",IF(COUNTIF(A1398:A$2001,A1398)=1,1,0))</f>
        <v/>
      </c>
      <c r="AM1398" s="7" t="str">
        <f aca="true">IF(I1398="","",TODAY()-I1398)</f>
        <v/>
      </c>
      <c r="AN1398" s="7" t="str">
        <f aca="false">IF(A1398="","",IF(AND(E1398&lt;&gt;"33 確認済",E1398&lt;&gt;"36 送付中"),1,0))</f>
        <v/>
      </c>
      <c r="AO1398" s="7" t="str">
        <f aca="false">IF(A1398="","",IF(AG1398&lt;&gt;"",1,0))</f>
        <v/>
      </c>
    </row>
    <row r="1399" customFormat="false" ht="15" hidden="false" customHeight="false" outlineLevel="0" collapsed="false">
      <c r="AL1399" s="7" t="str">
        <f aca="false">IF(A1399="","",IF(COUNTIF(A1399:A$2001,A1399)=1,1,0))</f>
        <v/>
      </c>
      <c r="AM1399" s="7" t="str">
        <f aca="true">IF(I1399="","",TODAY()-I1399)</f>
        <v/>
      </c>
      <c r="AN1399" s="7" t="str">
        <f aca="false">IF(A1399="","",IF(AND(E1399&lt;&gt;"33 確認済",E1399&lt;&gt;"36 送付中"),1,0))</f>
        <v/>
      </c>
      <c r="AO1399" s="7" t="str">
        <f aca="false">IF(A1399="","",IF(AG1399&lt;&gt;"",1,0))</f>
        <v/>
      </c>
    </row>
    <row r="1400" customFormat="false" ht="15" hidden="false" customHeight="false" outlineLevel="0" collapsed="false">
      <c r="AL1400" s="7" t="str">
        <f aca="false">IF(A1400="","",IF(COUNTIF(A1400:A$2001,A1400)=1,1,0))</f>
        <v/>
      </c>
      <c r="AM1400" s="7" t="str">
        <f aca="true">IF(I1400="","",TODAY()-I1400)</f>
        <v/>
      </c>
      <c r="AN1400" s="7" t="str">
        <f aca="false">IF(A1400="","",IF(AND(E1400&lt;&gt;"33 確認済",E1400&lt;&gt;"36 送付中"),1,0))</f>
        <v/>
      </c>
      <c r="AO1400" s="7" t="str">
        <f aca="false">IF(A1400="","",IF(AG1400&lt;&gt;"",1,0))</f>
        <v/>
      </c>
    </row>
    <row r="1401" customFormat="false" ht="15" hidden="false" customHeight="false" outlineLevel="0" collapsed="false">
      <c r="AL1401" s="7" t="str">
        <f aca="false">IF(A1401="","",IF(COUNTIF(A1401:A$2001,A1401)=1,1,0))</f>
        <v/>
      </c>
      <c r="AM1401" s="7" t="str">
        <f aca="true">IF(I1401="","",TODAY()-I1401)</f>
        <v/>
      </c>
      <c r="AN1401" s="7" t="str">
        <f aca="false">IF(A1401="","",IF(AND(E1401&lt;&gt;"33 確認済",E1401&lt;&gt;"36 送付中"),1,0))</f>
        <v/>
      </c>
      <c r="AO1401" s="7" t="str">
        <f aca="false">IF(A1401="","",IF(AG1401&lt;&gt;"",1,0))</f>
        <v/>
      </c>
    </row>
    <row r="1402" customFormat="false" ht="15" hidden="false" customHeight="false" outlineLevel="0" collapsed="false">
      <c r="AL1402" s="7" t="str">
        <f aca="false">IF(A1402="","",IF(COUNTIF(A1402:A$2001,A1402)=1,1,0))</f>
        <v/>
      </c>
      <c r="AM1402" s="7" t="str">
        <f aca="true">IF(I1402="","",TODAY()-I1402)</f>
        <v/>
      </c>
      <c r="AN1402" s="7" t="str">
        <f aca="false">IF(A1402="","",IF(AND(E1402&lt;&gt;"33 確認済",E1402&lt;&gt;"36 送付中"),1,0))</f>
        <v/>
      </c>
      <c r="AO1402" s="7" t="str">
        <f aca="false">IF(A1402="","",IF(AG1402&lt;&gt;"",1,0))</f>
        <v/>
      </c>
    </row>
    <row r="1403" customFormat="false" ht="15" hidden="false" customHeight="false" outlineLevel="0" collapsed="false">
      <c r="AL1403" s="7" t="str">
        <f aca="false">IF(A1403="","",IF(COUNTIF(A1403:A$2001,A1403)=1,1,0))</f>
        <v/>
      </c>
      <c r="AM1403" s="7" t="str">
        <f aca="true">IF(I1403="","",TODAY()-I1403)</f>
        <v/>
      </c>
      <c r="AN1403" s="7" t="str">
        <f aca="false">IF(A1403="","",IF(AND(E1403&lt;&gt;"33 確認済",E1403&lt;&gt;"36 送付中"),1,0))</f>
        <v/>
      </c>
      <c r="AO1403" s="7" t="str">
        <f aca="false">IF(A1403="","",IF(AG1403&lt;&gt;"",1,0))</f>
        <v/>
      </c>
    </row>
    <row r="1404" customFormat="false" ht="15" hidden="false" customHeight="false" outlineLevel="0" collapsed="false">
      <c r="AL1404" s="7" t="str">
        <f aca="false">IF(A1404="","",IF(COUNTIF(A1404:A$2001,A1404)=1,1,0))</f>
        <v/>
      </c>
      <c r="AM1404" s="7" t="str">
        <f aca="true">IF(I1404="","",TODAY()-I1404)</f>
        <v/>
      </c>
      <c r="AN1404" s="7" t="str">
        <f aca="false">IF(A1404="","",IF(AND(E1404&lt;&gt;"33 確認済",E1404&lt;&gt;"36 送付中"),1,0))</f>
        <v/>
      </c>
      <c r="AO1404" s="7" t="str">
        <f aca="false">IF(A1404="","",IF(AG1404&lt;&gt;"",1,0))</f>
        <v/>
      </c>
    </row>
    <row r="1405" customFormat="false" ht="15" hidden="false" customHeight="false" outlineLevel="0" collapsed="false">
      <c r="AL1405" s="7" t="str">
        <f aca="false">IF(A1405="","",IF(COUNTIF(A1405:A$2001,A1405)=1,1,0))</f>
        <v/>
      </c>
      <c r="AM1405" s="7" t="str">
        <f aca="true">IF(I1405="","",TODAY()-I1405)</f>
        <v/>
      </c>
      <c r="AN1405" s="7" t="str">
        <f aca="false">IF(A1405="","",IF(AND(E1405&lt;&gt;"33 確認済",E1405&lt;&gt;"36 送付中"),1,0))</f>
        <v/>
      </c>
      <c r="AO1405" s="7" t="str">
        <f aca="false">IF(A1405="","",IF(AG1405&lt;&gt;"",1,0))</f>
        <v/>
      </c>
    </row>
    <row r="1406" customFormat="false" ht="15" hidden="false" customHeight="false" outlineLevel="0" collapsed="false">
      <c r="AL1406" s="7" t="str">
        <f aca="false">IF(A1406="","",IF(COUNTIF(A1406:A$2001,A1406)=1,1,0))</f>
        <v/>
      </c>
      <c r="AM1406" s="7" t="str">
        <f aca="true">IF(I1406="","",TODAY()-I1406)</f>
        <v/>
      </c>
      <c r="AN1406" s="7" t="str">
        <f aca="false">IF(A1406="","",IF(AND(E1406&lt;&gt;"33 確認済",E1406&lt;&gt;"36 送付中"),1,0))</f>
        <v/>
      </c>
      <c r="AO1406" s="7" t="str">
        <f aca="false">IF(A1406="","",IF(AG1406&lt;&gt;"",1,0))</f>
        <v/>
      </c>
    </row>
    <row r="1407" customFormat="false" ht="15" hidden="false" customHeight="false" outlineLevel="0" collapsed="false">
      <c r="AL1407" s="7" t="str">
        <f aca="false">IF(A1407="","",IF(COUNTIF(A1407:A$2001,A1407)=1,1,0))</f>
        <v/>
      </c>
      <c r="AM1407" s="7" t="str">
        <f aca="true">IF(I1407="","",TODAY()-I1407)</f>
        <v/>
      </c>
      <c r="AN1407" s="7" t="str">
        <f aca="false">IF(A1407="","",IF(AND(E1407&lt;&gt;"33 確認済",E1407&lt;&gt;"36 送付中"),1,0))</f>
        <v/>
      </c>
      <c r="AO1407" s="7" t="str">
        <f aca="false">IF(A1407="","",IF(AG1407&lt;&gt;"",1,0))</f>
        <v/>
      </c>
    </row>
    <row r="1408" customFormat="false" ht="15" hidden="false" customHeight="false" outlineLevel="0" collapsed="false">
      <c r="AL1408" s="7" t="str">
        <f aca="false">IF(A1408="","",IF(COUNTIF(A1408:A$2001,A1408)=1,1,0))</f>
        <v/>
      </c>
      <c r="AM1408" s="7" t="str">
        <f aca="true">IF(I1408="","",TODAY()-I1408)</f>
        <v/>
      </c>
      <c r="AN1408" s="7" t="str">
        <f aca="false">IF(A1408="","",IF(AND(E1408&lt;&gt;"33 確認済",E1408&lt;&gt;"36 送付中"),1,0))</f>
        <v/>
      </c>
      <c r="AO1408" s="7" t="str">
        <f aca="false">IF(A1408="","",IF(AG1408&lt;&gt;"",1,0))</f>
        <v/>
      </c>
    </row>
    <row r="1409" customFormat="false" ht="15" hidden="false" customHeight="false" outlineLevel="0" collapsed="false">
      <c r="AL1409" s="7" t="str">
        <f aca="false">IF(A1409="","",IF(COUNTIF(A1409:A$2001,A1409)=1,1,0))</f>
        <v/>
      </c>
      <c r="AM1409" s="7" t="str">
        <f aca="true">IF(I1409="","",TODAY()-I1409)</f>
        <v/>
      </c>
      <c r="AN1409" s="7" t="str">
        <f aca="false">IF(A1409="","",IF(AND(E1409&lt;&gt;"33 確認済",E1409&lt;&gt;"36 送付中"),1,0))</f>
        <v/>
      </c>
      <c r="AO1409" s="7" t="str">
        <f aca="false">IF(A1409="","",IF(AG1409&lt;&gt;"",1,0))</f>
        <v/>
      </c>
    </row>
    <row r="1410" customFormat="false" ht="15" hidden="false" customHeight="false" outlineLevel="0" collapsed="false">
      <c r="AL1410" s="7" t="str">
        <f aca="false">IF(A1410="","",IF(COUNTIF(A1410:A$2001,A1410)=1,1,0))</f>
        <v/>
      </c>
      <c r="AM1410" s="7" t="str">
        <f aca="true">IF(I1410="","",TODAY()-I1410)</f>
        <v/>
      </c>
      <c r="AN1410" s="7" t="str">
        <f aca="false">IF(A1410="","",IF(AND(E1410&lt;&gt;"33 確認済",E1410&lt;&gt;"36 送付中"),1,0))</f>
        <v/>
      </c>
      <c r="AO1410" s="7" t="str">
        <f aca="false">IF(A1410="","",IF(AG1410&lt;&gt;"",1,0))</f>
        <v/>
      </c>
    </row>
    <row r="1411" customFormat="false" ht="15" hidden="false" customHeight="false" outlineLevel="0" collapsed="false">
      <c r="AL1411" s="7" t="str">
        <f aca="false">IF(A1411="","",IF(COUNTIF(A1411:A$2001,A1411)=1,1,0))</f>
        <v/>
      </c>
      <c r="AM1411" s="7" t="str">
        <f aca="true">IF(I1411="","",TODAY()-I1411)</f>
        <v/>
      </c>
      <c r="AN1411" s="7" t="str">
        <f aca="false">IF(A1411="","",IF(AND(E1411&lt;&gt;"33 確認済",E1411&lt;&gt;"36 送付中"),1,0))</f>
        <v/>
      </c>
      <c r="AO1411" s="7" t="str">
        <f aca="false">IF(A1411="","",IF(AG1411&lt;&gt;"",1,0))</f>
        <v/>
      </c>
    </row>
    <row r="1412" customFormat="false" ht="15" hidden="false" customHeight="false" outlineLevel="0" collapsed="false">
      <c r="AL1412" s="7" t="str">
        <f aca="false">IF(A1412="","",IF(COUNTIF(A1412:A$2001,A1412)=1,1,0))</f>
        <v/>
      </c>
      <c r="AM1412" s="7" t="str">
        <f aca="true">IF(I1412="","",TODAY()-I1412)</f>
        <v/>
      </c>
      <c r="AN1412" s="7" t="str">
        <f aca="false">IF(A1412="","",IF(AND(E1412&lt;&gt;"33 確認済",E1412&lt;&gt;"36 送付中"),1,0))</f>
        <v/>
      </c>
      <c r="AO1412" s="7" t="str">
        <f aca="false">IF(A1412="","",IF(AG1412&lt;&gt;"",1,0))</f>
        <v/>
      </c>
    </row>
    <row r="1413" customFormat="false" ht="15" hidden="false" customHeight="false" outlineLevel="0" collapsed="false">
      <c r="AL1413" s="7" t="str">
        <f aca="false">IF(A1413="","",IF(COUNTIF(A1413:A$2001,A1413)=1,1,0))</f>
        <v/>
      </c>
      <c r="AM1413" s="7" t="str">
        <f aca="true">IF(I1413="","",TODAY()-I1413)</f>
        <v/>
      </c>
      <c r="AN1413" s="7" t="str">
        <f aca="false">IF(A1413="","",IF(AND(E1413&lt;&gt;"33 確認済",E1413&lt;&gt;"36 送付中"),1,0))</f>
        <v/>
      </c>
      <c r="AO1413" s="7" t="str">
        <f aca="false">IF(A1413="","",IF(AG1413&lt;&gt;"",1,0))</f>
        <v/>
      </c>
    </row>
    <row r="1414" customFormat="false" ht="15" hidden="false" customHeight="false" outlineLevel="0" collapsed="false">
      <c r="AL1414" s="7" t="str">
        <f aca="false">IF(A1414="","",IF(COUNTIF(A1414:A$2001,A1414)=1,1,0))</f>
        <v/>
      </c>
      <c r="AM1414" s="7" t="str">
        <f aca="true">IF(I1414="","",TODAY()-I1414)</f>
        <v/>
      </c>
      <c r="AN1414" s="7" t="str">
        <f aca="false">IF(A1414="","",IF(AND(E1414&lt;&gt;"33 確認済",E1414&lt;&gt;"36 送付中"),1,0))</f>
        <v/>
      </c>
      <c r="AO1414" s="7" t="str">
        <f aca="false">IF(A1414="","",IF(AG1414&lt;&gt;"",1,0))</f>
        <v/>
      </c>
    </row>
    <row r="1415" customFormat="false" ht="15" hidden="false" customHeight="false" outlineLevel="0" collapsed="false">
      <c r="AL1415" s="7" t="str">
        <f aca="false">IF(A1415="","",IF(COUNTIF(A1415:A$2001,A1415)=1,1,0))</f>
        <v/>
      </c>
      <c r="AM1415" s="7" t="str">
        <f aca="true">IF(I1415="","",TODAY()-I1415)</f>
        <v/>
      </c>
      <c r="AN1415" s="7" t="str">
        <f aca="false">IF(A1415="","",IF(AND(E1415&lt;&gt;"33 確認済",E1415&lt;&gt;"36 送付中"),1,0))</f>
        <v/>
      </c>
      <c r="AO1415" s="7" t="str">
        <f aca="false">IF(A1415="","",IF(AG1415&lt;&gt;"",1,0))</f>
        <v/>
      </c>
    </row>
    <row r="1416" customFormat="false" ht="15" hidden="false" customHeight="false" outlineLevel="0" collapsed="false">
      <c r="AL1416" s="7" t="str">
        <f aca="false">IF(A1416="","",IF(COUNTIF(A1416:A$2001,A1416)=1,1,0))</f>
        <v/>
      </c>
      <c r="AM1416" s="7" t="str">
        <f aca="true">IF(I1416="","",TODAY()-I1416)</f>
        <v/>
      </c>
      <c r="AN1416" s="7" t="str">
        <f aca="false">IF(A1416="","",IF(AND(E1416&lt;&gt;"33 確認済",E1416&lt;&gt;"36 送付中"),1,0))</f>
        <v/>
      </c>
      <c r="AO1416" s="7" t="str">
        <f aca="false">IF(A1416="","",IF(AG1416&lt;&gt;"",1,0))</f>
        <v/>
      </c>
    </row>
    <row r="1417" customFormat="false" ht="15" hidden="false" customHeight="false" outlineLevel="0" collapsed="false">
      <c r="AL1417" s="7" t="str">
        <f aca="false">IF(A1417="","",IF(COUNTIF(A1417:A$2001,A1417)=1,1,0))</f>
        <v/>
      </c>
      <c r="AM1417" s="7" t="str">
        <f aca="true">IF(I1417="","",TODAY()-I1417)</f>
        <v/>
      </c>
      <c r="AN1417" s="7" t="str">
        <f aca="false">IF(A1417="","",IF(AND(E1417&lt;&gt;"33 確認済",E1417&lt;&gt;"36 送付中"),1,0))</f>
        <v/>
      </c>
      <c r="AO1417" s="7" t="str">
        <f aca="false">IF(A1417="","",IF(AG1417&lt;&gt;"",1,0))</f>
        <v/>
      </c>
    </row>
    <row r="1418" customFormat="false" ht="15" hidden="false" customHeight="false" outlineLevel="0" collapsed="false">
      <c r="AL1418" s="7" t="str">
        <f aca="false">IF(A1418="","",IF(COUNTIF(A1418:A$2001,A1418)=1,1,0))</f>
        <v/>
      </c>
      <c r="AM1418" s="7" t="str">
        <f aca="true">IF(I1418="","",TODAY()-I1418)</f>
        <v/>
      </c>
      <c r="AN1418" s="7" t="str">
        <f aca="false">IF(A1418="","",IF(AND(E1418&lt;&gt;"33 確認済",E1418&lt;&gt;"36 送付中"),1,0))</f>
        <v/>
      </c>
      <c r="AO1418" s="7" t="str">
        <f aca="false">IF(A1418="","",IF(AG1418&lt;&gt;"",1,0))</f>
        <v/>
      </c>
    </row>
    <row r="1419" customFormat="false" ht="15" hidden="false" customHeight="false" outlineLevel="0" collapsed="false">
      <c r="AL1419" s="7" t="str">
        <f aca="false">IF(A1419="","",IF(COUNTIF(A1419:A$2001,A1419)=1,1,0))</f>
        <v/>
      </c>
      <c r="AM1419" s="7" t="str">
        <f aca="true">IF(I1419="","",TODAY()-I1419)</f>
        <v/>
      </c>
      <c r="AN1419" s="7" t="str">
        <f aca="false">IF(A1419="","",IF(AND(E1419&lt;&gt;"33 確認済",E1419&lt;&gt;"36 送付中"),1,0))</f>
        <v/>
      </c>
      <c r="AO1419" s="7" t="str">
        <f aca="false">IF(A1419="","",IF(AG1419&lt;&gt;"",1,0))</f>
        <v/>
      </c>
    </row>
    <row r="1420" customFormat="false" ht="15" hidden="false" customHeight="false" outlineLevel="0" collapsed="false">
      <c r="AL1420" s="7" t="str">
        <f aca="false">IF(A1420="","",IF(COUNTIF(A1420:A$2001,A1420)=1,1,0))</f>
        <v/>
      </c>
      <c r="AM1420" s="7" t="str">
        <f aca="true">IF(I1420="","",TODAY()-I1420)</f>
        <v/>
      </c>
      <c r="AN1420" s="7" t="str">
        <f aca="false">IF(A1420="","",IF(AND(E1420&lt;&gt;"33 確認済",E1420&lt;&gt;"36 送付中"),1,0))</f>
        <v/>
      </c>
      <c r="AO1420" s="7" t="str">
        <f aca="false">IF(A1420="","",IF(AG1420&lt;&gt;"",1,0))</f>
        <v/>
      </c>
    </row>
    <row r="1421" customFormat="false" ht="15" hidden="false" customHeight="false" outlineLevel="0" collapsed="false">
      <c r="AL1421" s="7" t="str">
        <f aca="false">IF(A1421="","",IF(COUNTIF(A1421:A$2001,A1421)=1,1,0))</f>
        <v/>
      </c>
      <c r="AM1421" s="7" t="str">
        <f aca="true">IF(I1421="","",TODAY()-I1421)</f>
        <v/>
      </c>
      <c r="AN1421" s="7" t="str">
        <f aca="false">IF(A1421="","",IF(AND(E1421&lt;&gt;"33 確認済",E1421&lt;&gt;"36 送付中"),1,0))</f>
        <v/>
      </c>
      <c r="AO1421" s="7" t="str">
        <f aca="false">IF(A1421="","",IF(AG1421&lt;&gt;"",1,0))</f>
        <v/>
      </c>
    </row>
    <row r="1422" customFormat="false" ht="15" hidden="false" customHeight="false" outlineLevel="0" collapsed="false">
      <c r="AL1422" s="7" t="str">
        <f aca="false">IF(A1422="","",IF(COUNTIF(A1422:A$2001,A1422)=1,1,0))</f>
        <v/>
      </c>
      <c r="AM1422" s="7" t="str">
        <f aca="true">IF(I1422="","",TODAY()-I1422)</f>
        <v/>
      </c>
      <c r="AN1422" s="7" t="str">
        <f aca="false">IF(A1422="","",IF(AND(E1422&lt;&gt;"33 確認済",E1422&lt;&gt;"36 送付中"),1,0))</f>
        <v/>
      </c>
      <c r="AO1422" s="7" t="str">
        <f aca="false">IF(A1422="","",IF(AG1422&lt;&gt;"",1,0))</f>
        <v/>
      </c>
    </row>
    <row r="1423" customFormat="false" ht="15" hidden="false" customHeight="false" outlineLevel="0" collapsed="false">
      <c r="AL1423" s="7" t="str">
        <f aca="false">IF(A1423="","",IF(COUNTIF(A1423:A$2001,A1423)=1,1,0))</f>
        <v/>
      </c>
      <c r="AM1423" s="7" t="str">
        <f aca="true">IF(I1423="","",TODAY()-I1423)</f>
        <v/>
      </c>
      <c r="AN1423" s="7" t="str">
        <f aca="false">IF(A1423="","",IF(AND(E1423&lt;&gt;"33 確認済",E1423&lt;&gt;"36 送付中"),1,0))</f>
        <v/>
      </c>
      <c r="AO1423" s="7" t="str">
        <f aca="false">IF(A1423="","",IF(AG1423&lt;&gt;"",1,0))</f>
        <v/>
      </c>
    </row>
    <row r="1424" customFormat="false" ht="15" hidden="false" customHeight="false" outlineLevel="0" collapsed="false">
      <c r="AL1424" s="7" t="str">
        <f aca="false">IF(A1424="","",IF(COUNTIF(A1424:A$2001,A1424)=1,1,0))</f>
        <v/>
      </c>
      <c r="AM1424" s="7" t="str">
        <f aca="true">IF(I1424="","",TODAY()-I1424)</f>
        <v/>
      </c>
      <c r="AN1424" s="7" t="str">
        <f aca="false">IF(A1424="","",IF(AND(E1424&lt;&gt;"33 確認済",E1424&lt;&gt;"36 送付中"),1,0))</f>
        <v/>
      </c>
      <c r="AO1424" s="7" t="str">
        <f aca="false">IF(A1424="","",IF(AG1424&lt;&gt;"",1,0))</f>
        <v/>
      </c>
    </row>
    <row r="1425" customFormat="false" ht="15" hidden="false" customHeight="false" outlineLevel="0" collapsed="false">
      <c r="AL1425" s="7" t="str">
        <f aca="false">IF(A1425="","",IF(COUNTIF(A1425:A$2001,A1425)=1,1,0))</f>
        <v/>
      </c>
      <c r="AM1425" s="7" t="str">
        <f aca="true">IF(I1425="","",TODAY()-I1425)</f>
        <v/>
      </c>
      <c r="AN1425" s="7" t="str">
        <f aca="false">IF(A1425="","",IF(AND(E1425&lt;&gt;"33 確認済",E1425&lt;&gt;"36 送付中"),1,0))</f>
        <v/>
      </c>
      <c r="AO1425" s="7" t="str">
        <f aca="false">IF(A1425="","",IF(AG1425&lt;&gt;"",1,0))</f>
        <v/>
      </c>
    </row>
    <row r="1426" customFormat="false" ht="15" hidden="false" customHeight="false" outlineLevel="0" collapsed="false">
      <c r="AL1426" s="7" t="str">
        <f aca="false">IF(A1426="","",IF(COUNTIF(A1426:A$2001,A1426)=1,1,0))</f>
        <v/>
      </c>
      <c r="AM1426" s="7" t="str">
        <f aca="true">IF(I1426="","",TODAY()-I1426)</f>
        <v/>
      </c>
      <c r="AN1426" s="7" t="str">
        <f aca="false">IF(A1426="","",IF(AND(E1426&lt;&gt;"33 確認済",E1426&lt;&gt;"36 送付中"),1,0))</f>
        <v/>
      </c>
      <c r="AO1426" s="7" t="str">
        <f aca="false">IF(A1426="","",IF(AG1426&lt;&gt;"",1,0))</f>
        <v/>
      </c>
    </row>
    <row r="1427" customFormat="false" ht="15" hidden="false" customHeight="false" outlineLevel="0" collapsed="false">
      <c r="AL1427" s="7" t="str">
        <f aca="false">IF(A1427="","",IF(COUNTIF(A1427:A$2001,A1427)=1,1,0))</f>
        <v/>
      </c>
      <c r="AM1427" s="7" t="str">
        <f aca="true">IF(I1427="","",TODAY()-I1427)</f>
        <v/>
      </c>
      <c r="AN1427" s="7" t="str">
        <f aca="false">IF(A1427="","",IF(AND(E1427&lt;&gt;"33 確認済",E1427&lt;&gt;"36 送付中"),1,0))</f>
        <v/>
      </c>
      <c r="AO1427" s="7" t="str">
        <f aca="false">IF(A1427="","",IF(AG1427&lt;&gt;"",1,0))</f>
        <v/>
      </c>
    </row>
    <row r="1428" customFormat="false" ht="15" hidden="false" customHeight="false" outlineLevel="0" collapsed="false">
      <c r="AL1428" s="7" t="str">
        <f aca="false">IF(A1428="","",IF(COUNTIF(A1428:A$2001,A1428)=1,1,0))</f>
        <v/>
      </c>
      <c r="AM1428" s="7" t="str">
        <f aca="true">IF(I1428="","",TODAY()-I1428)</f>
        <v/>
      </c>
      <c r="AN1428" s="7" t="str">
        <f aca="false">IF(A1428="","",IF(AND(E1428&lt;&gt;"33 確認済",E1428&lt;&gt;"36 送付中"),1,0))</f>
        <v/>
      </c>
      <c r="AO1428" s="7" t="str">
        <f aca="false">IF(A1428="","",IF(AG1428&lt;&gt;"",1,0))</f>
        <v/>
      </c>
    </row>
    <row r="1429" customFormat="false" ht="15" hidden="false" customHeight="false" outlineLevel="0" collapsed="false">
      <c r="AL1429" s="7" t="str">
        <f aca="false">IF(A1429="","",IF(COUNTIF(A1429:A$2001,A1429)=1,1,0))</f>
        <v/>
      </c>
      <c r="AM1429" s="7" t="str">
        <f aca="true">IF(I1429="","",TODAY()-I1429)</f>
        <v/>
      </c>
      <c r="AN1429" s="7" t="str">
        <f aca="false">IF(A1429="","",IF(AND(E1429&lt;&gt;"33 確認済",E1429&lt;&gt;"36 送付中"),1,0))</f>
        <v/>
      </c>
      <c r="AO1429" s="7" t="str">
        <f aca="false">IF(A1429="","",IF(AG1429&lt;&gt;"",1,0))</f>
        <v/>
      </c>
    </row>
    <row r="1430" customFormat="false" ht="15" hidden="false" customHeight="false" outlineLevel="0" collapsed="false">
      <c r="AL1430" s="7" t="str">
        <f aca="false">IF(A1430="","",IF(COUNTIF(A1430:A$2001,A1430)=1,1,0))</f>
        <v/>
      </c>
      <c r="AM1430" s="7" t="str">
        <f aca="true">IF(I1430="","",TODAY()-I1430)</f>
        <v/>
      </c>
      <c r="AN1430" s="7" t="str">
        <f aca="false">IF(A1430="","",IF(AND(E1430&lt;&gt;"33 確認済",E1430&lt;&gt;"36 送付中"),1,0))</f>
        <v/>
      </c>
      <c r="AO1430" s="7" t="str">
        <f aca="false">IF(A1430="","",IF(AG1430&lt;&gt;"",1,0))</f>
        <v/>
      </c>
    </row>
    <row r="1431" customFormat="false" ht="15" hidden="false" customHeight="false" outlineLevel="0" collapsed="false">
      <c r="AL1431" s="7" t="str">
        <f aca="false">IF(A1431="","",IF(COUNTIF(A1431:A$2001,A1431)=1,1,0))</f>
        <v/>
      </c>
      <c r="AM1431" s="7" t="str">
        <f aca="true">IF(I1431="","",TODAY()-I1431)</f>
        <v/>
      </c>
      <c r="AN1431" s="7" t="str">
        <f aca="false">IF(A1431="","",IF(AND(E1431&lt;&gt;"33 確認済",E1431&lt;&gt;"36 送付中"),1,0))</f>
        <v/>
      </c>
      <c r="AO1431" s="7" t="str">
        <f aca="false">IF(A1431="","",IF(AG1431&lt;&gt;"",1,0))</f>
        <v/>
      </c>
    </row>
    <row r="1432" customFormat="false" ht="15" hidden="false" customHeight="false" outlineLevel="0" collapsed="false">
      <c r="AL1432" s="7" t="str">
        <f aca="false">IF(A1432="","",IF(COUNTIF(A1432:A$2001,A1432)=1,1,0))</f>
        <v/>
      </c>
      <c r="AM1432" s="7" t="str">
        <f aca="true">IF(I1432="","",TODAY()-I1432)</f>
        <v/>
      </c>
      <c r="AN1432" s="7" t="str">
        <f aca="false">IF(A1432="","",IF(AND(E1432&lt;&gt;"33 確認済",E1432&lt;&gt;"36 送付中"),1,0))</f>
        <v/>
      </c>
      <c r="AO1432" s="7" t="str">
        <f aca="false">IF(A1432="","",IF(AG1432&lt;&gt;"",1,0))</f>
        <v/>
      </c>
    </row>
    <row r="1433" customFormat="false" ht="15" hidden="false" customHeight="false" outlineLevel="0" collapsed="false">
      <c r="AL1433" s="7" t="str">
        <f aca="false">IF(A1433="","",IF(COUNTIF(A1433:A$2001,A1433)=1,1,0))</f>
        <v/>
      </c>
      <c r="AM1433" s="7" t="str">
        <f aca="true">IF(I1433="","",TODAY()-I1433)</f>
        <v/>
      </c>
      <c r="AN1433" s="7" t="str">
        <f aca="false">IF(A1433="","",IF(AND(E1433&lt;&gt;"33 確認済",E1433&lt;&gt;"36 送付中"),1,0))</f>
        <v/>
      </c>
      <c r="AO1433" s="7" t="str">
        <f aca="false">IF(A1433="","",IF(AG1433&lt;&gt;"",1,0))</f>
        <v/>
      </c>
    </row>
    <row r="1434" customFormat="false" ht="15" hidden="false" customHeight="false" outlineLevel="0" collapsed="false">
      <c r="AL1434" s="7" t="str">
        <f aca="false">IF(A1434="","",IF(COUNTIF(A1434:A$2001,A1434)=1,1,0))</f>
        <v/>
      </c>
      <c r="AM1434" s="7" t="str">
        <f aca="true">IF(I1434="","",TODAY()-I1434)</f>
        <v/>
      </c>
      <c r="AN1434" s="7" t="str">
        <f aca="false">IF(A1434="","",IF(AND(E1434&lt;&gt;"33 確認済",E1434&lt;&gt;"36 送付中"),1,0))</f>
        <v/>
      </c>
      <c r="AO1434" s="7" t="str">
        <f aca="false">IF(A1434="","",IF(AG1434&lt;&gt;"",1,0))</f>
        <v/>
      </c>
    </row>
    <row r="1435" customFormat="false" ht="15" hidden="false" customHeight="false" outlineLevel="0" collapsed="false">
      <c r="AL1435" s="7" t="str">
        <f aca="false">IF(A1435="","",IF(COUNTIF(A1435:A$2001,A1435)=1,1,0))</f>
        <v/>
      </c>
      <c r="AM1435" s="7" t="str">
        <f aca="true">IF(I1435="","",TODAY()-I1435)</f>
        <v/>
      </c>
      <c r="AN1435" s="7" t="str">
        <f aca="false">IF(A1435="","",IF(AND(E1435&lt;&gt;"33 確認済",E1435&lt;&gt;"36 送付中"),1,0))</f>
        <v/>
      </c>
      <c r="AO1435" s="7" t="str">
        <f aca="false">IF(A1435="","",IF(AG1435&lt;&gt;"",1,0))</f>
        <v/>
      </c>
    </row>
    <row r="1436" customFormat="false" ht="15" hidden="false" customHeight="false" outlineLevel="0" collapsed="false">
      <c r="AL1436" s="7" t="str">
        <f aca="false">IF(A1436="","",IF(COUNTIF(A1436:A$2001,A1436)=1,1,0))</f>
        <v/>
      </c>
      <c r="AM1436" s="7" t="str">
        <f aca="true">IF(I1436="","",TODAY()-I1436)</f>
        <v/>
      </c>
      <c r="AN1436" s="7" t="str">
        <f aca="false">IF(A1436="","",IF(AND(E1436&lt;&gt;"33 確認済",E1436&lt;&gt;"36 送付中"),1,0))</f>
        <v/>
      </c>
      <c r="AO1436" s="7" t="str">
        <f aca="false">IF(A1436="","",IF(AG1436&lt;&gt;"",1,0))</f>
        <v/>
      </c>
    </row>
    <row r="1437" customFormat="false" ht="15" hidden="false" customHeight="false" outlineLevel="0" collapsed="false">
      <c r="AL1437" s="7" t="str">
        <f aca="false">IF(A1437="","",IF(COUNTIF(A1437:A$2001,A1437)=1,1,0))</f>
        <v/>
      </c>
      <c r="AM1437" s="7" t="str">
        <f aca="true">IF(I1437="","",TODAY()-I1437)</f>
        <v/>
      </c>
      <c r="AN1437" s="7" t="str">
        <f aca="false">IF(A1437="","",IF(AND(E1437&lt;&gt;"33 確認済",E1437&lt;&gt;"36 送付中"),1,0))</f>
        <v/>
      </c>
      <c r="AO1437" s="7" t="str">
        <f aca="false">IF(A1437="","",IF(AG1437&lt;&gt;"",1,0))</f>
        <v/>
      </c>
    </row>
    <row r="1438" customFormat="false" ht="15" hidden="false" customHeight="false" outlineLevel="0" collapsed="false">
      <c r="AL1438" s="7" t="str">
        <f aca="false">IF(A1438="","",IF(COUNTIF(A1438:A$2001,A1438)=1,1,0))</f>
        <v/>
      </c>
      <c r="AM1438" s="7" t="str">
        <f aca="true">IF(I1438="","",TODAY()-I1438)</f>
        <v/>
      </c>
      <c r="AN1438" s="7" t="str">
        <f aca="false">IF(A1438="","",IF(AND(E1438&lt;&gt;"33 確認済",E1438&lt;&gt;"36 送付中"),1,0))</f>
        <v/>
      </c>
      <c r="AO1438" s="7" t="str">
        <f aca="false">IF(A1438="","",IF(AG1438&lt;&gt;"",1,0))</f>
        <v/>
      </c>
    </row>
    <row r="1439" customFormat="false" ht="15" hidden="false" customHeight="false" outlineLevel="0" collapsed="false">
      <c r="AL1439" s="7" t="str">
        <f aca="false">IF(A1439="","",IF(COUNTIF(A1439:A$2001,A1439)=1,1,0))</f>
        <v/>
      </c>
      <c r="AM1439" s="7" t="str">
        <f aca="true">IF(I1439="","",TODAY()-I1439)</f>
        <v/>
      </c>
      <c r="AN1439" s="7" t="str">
        <f aca="false">IF(A1439="","",IF(AND(E1439&lt;&gt;"33 確認済",E1439&lt;&gt;"36 送付中"),1,0))</f>
        <v/>
      </c>
      <c r="AO1439" s="7" t="str">
        <f aca="false">IF(A1439="","",IF(AG1439&lt;&gt;"",1,0))</f>
        <v/>
      </c>
    </row>
    <row r="1440" customFormat="false" ht="15" hidden="false" customHeight="false" outlineLevel="0" collapsed="false">
      <c r="AL1440" s="7" t="str">
        <f aca="false">IF(A1440="","",IF(COUNTIF(A1440:A$2001,A1440)=1,1,0))</f>
        <v/>
      </c>
      <c r="AM1440" s="7" t="str">
        <f aca="true">IF(I1440="","",TODAY()-I1440)</f>
        <v/>
      </c>
      <c r="AN1440" s="7" t="str">
        <f aca="false">IF(A1440="","",IF(AND(E1440&lt;&gt;"33 確認済",E1440&lt;&gt;"36 送付中"),1,0))</f>
        <v/>
      </c>
      <c r="AO1440" s="7" t="str">
        <f aca="false">IF(A1440="","",IF(AG1440&lt;&gt;"",1,0))</f>
        <v/>
      </c>
    </row>
    <row r="1441" customFormat="false" ht="15" hidden="false" customHeight="false" outlineLevel="0" collapsed="false">
      <c r="AL1441" s="7" t="str">
        <f aca="false">IF(A1441="","",IF(COUNTIF(A1441:A$2001,A1441)=1,1,0))</f>
        <v/>
      </c>
      <c r="AM1441" s="7" t="str">
        <f aca="true">IF(I1441="","",TODAY()-I1441)</f>
        <v/>
      </c>
      <c r="AN1441" s="7" t="str">
        <f aca="false">IF(A1441="","",IF(AND(E1441&lt;&gt;"33 確認済",E1441&lt;&gt;"36 送付中"),1,0))</f>
        <v/>
      </c>
      <c r="AO1441" s="7" t="str">
        <f aca="false">IF(A1441="","",IF(AG1441&lt;&gt;"",1,0))</f>
        <v/>
      </c>
    </row>
    <row r="1442" customFormat="false" ht="15" hidden="false" customHeight="false" outlineLevel="0" collapsed="false">
      <c r="AL1442" s="7" t="str">
        <f aca="false">IF(A1442="","",IF(COUNTIF(A1442:A$2001,A1442)=1,1,0))</f>
        <v/>
      </c>
      <c r="AM1442" s="7" t="str">
        <f aca="true">IF(I1442="","",TODAY()-I1442)</f>
        <v/>
      </c>
      <c r="AN1442" s="7" t="str">
        <f aca="false">IF(A1442="","",IF(AND(E1442&lt;&gt;"33 確認済",E1442&lt;&gt;"36 送付中"),1,0))</f>
        <v/>
      </c>
      <c r="AO1442" s="7" t="str">
        <f aca="false">IF(A1442="","",IF(AG1442&lt;&gt;"",1,0))</f>
        <v/>
      </c>
    </row>
    <row r="1443" customFormat="false" ht="15" hidden="false" customHeight="false" outlineLevel="0" collapsed="false">
      <c r="AL1443" s="7" t="str">
        <f aca="false">IF(A1443="","",IF(COUNTIF(A1443:A$2001,A1443)=1,1,0))</f>
        <v/>
      </c>
      <c r="AM1443" s="7" t="str">
        <f aca="true">IF(I1443="","",TODAY()-I1443)</f>
        <v/>
      </c>
      <c r="AN1443" s="7" t="str">
        <f aca="false">IF(A1443="","",IF(AND(E1443&lt;&gt;"33 確認済",E1443&lt;&gt;"36 送付中"),1,0))</f>
        <v/>
      </c>
      <c r="AO1443" s="7" t="str">
        <f aca="false">IF(A1443="","",IF(AG1443&lt;&gt;"",1,0))</f>
        <v/>
      </c>
    </row>
    <row r="1444" customFormat="false" ht="15" hidden="false" customHeight="false" outlineLevel="0" collapsed="false">
      <c r="AL1444" s="7" t="str">
        <f aca="false">IF(A1444="","",IF(COUNTIF(A1444:A$2001,A1444)=1,1,0))</f>
        <v/>
      </c>
      <c r="AM1444" s="7" t="str">
        <f aca="true">IF(I1444="","",TODAY()-I1444)</f>
        <v/>
      </c>
      <c r="AN1444" s="7" t="str">
        <f aca="false">IF(A1444="","",IF(AND(E1444&lt;&gt;"33 確認済",E1444&lt;&gt;"36 送付中"),1,0))</f>
        <v/>
      </c>
      <c r="AO1444" s="7" t="str">
        <f aca="false">IF(A1444="","",IF(AG1444&lt;&gt;"",1,0))</f>
        <v/>
      </c>
    </row>
    <row r="1445" customFormat="false" ht="15" hidden="false" customHeight="false" outlineLevel="0" collapsed="false">
      <c r="AL1445" s="7" t="str">
        <f aca="false">IF(A1445="","",IF(COUNTIF(A1445:A$2001,A1445)=1,1,0))</f>
        <v/>
      </c>
      <c r="AM1445" s="7" t="str">
        <f aca="true">IF(I1445="","",TODAY()-I1445)</f>
        <v/>
      </c>
      <c r="AN1445" s="7" t="str">
        <f aca="false">IF(A1445="","",IF(AND(E1445&lt;&gt;"33 確認済",E1445&lt;&gt;"36 送付中"),1,0))</f>
        <v/>
      </c>
      <c r="AO1445" s="7" t="str">
        <f aca="false">IF(A1445="","",IF(AG1445&lt;&gt;"",1,0))</f>
        <v/>
      </c>
    </row>
    <row r="1446" customFormat="false" ht="15" hidden="false" customHeight="false" outlineLevel="0" collapsed="false">
      <c r="AL1446" s="7" t="str">
        <f aca="false">IF(A1446="","",IF(COUNTIF(A1446:A$2001,A1446)=1,1,0))</f>
        <v/>
      </c>
      <c r="AM1446" s="7" t="str">
        <f aca="true">IF(I1446="","",TODAY()-I1446)</f>
        <v/>
      </c>
      <c r="AN1446" s="7" t="str">
        <f aca="false">IF(A1446="","",IF(AND(E1446&lt;&gt;"33 確認済",E1446&lt;&gt;"36 送付中"),1,0))</f>
        <v/>
      </c>
      <c r="AO1446" s="7" t="str">
        <f aca="false">IF(A1446="","",IF(AG1446&lt;&gt;"",1,0))</f>
        <v/>
      </c>
    </row>
    <row r="1447" customFormat="false" ht="15" hidden="false" customHeight="false" outlineLevel="0" collapsed="false">
      <c r="AL1447" s="7" t="str">
        <f aca="false">IF(A1447="","",IF(COUNTIF(A1447:A$2001,A1447)=1,1,0))</f>
        <v/>
      </c>
      <c r="AM1447" s="7" t="str">
        <f aca="true">IF(I1447="","",TODAY()-I1447)</f>
        <v/>
      </c>
      <c r="AN1447" s="7" t="str">
        <f aca="false">IF(A1447="","",IF(AND(E1447&lt;&gt;"33 確認済",E1447&lt;&gt;"36 送付中"),1,0))</f>
        <v/>
      </c>
      <c r="AO1447" s="7" t="str">
        <f aca="false">IF(A1447="","",IF(AG1447&lt;&gt;"",1,0))</f>
        <v/>
      </c>
    </row>
    <row r="1448" customFormat="false" ht="15" hidden="false" customHeight="false" outlineLevel="0" collapsed="false">
      <c r="AL1448" s="7" t="str">
        <f aca="false">IF(A1448="","",IF(COUNTIF(A1448:A$2001,A1448)=1,1,0))</f>
        <v/>
      </c>
      <c r="AM1448" s="7" t="str">
        <f aca="true">IF(I1448="","",TODAY()-I1448)</f>
        <v/>
      </c>
      <c r="AN1448" s="7" t="str">
        <f aca="false">IF(A1448="","",IF(AND(E1448&lt;&gt;"33 確認済",E1448&lt;&gt;"36 送付中"),1,0))</f>
        <v/>
      </c>
      <c r="AO1448" s="7" t="str">
        <f aca="false">IF(A1448="","",IF(AG1448&lt;&gt;"",1,0))</f>
        <v/>
      </c>
    </row>
    <row r="1449" customFormat="false" ht="15" hidden="false" customHeight="false" outlineLevel="0" collapsed="false">
      <c r="AL1449" s="7" t="str">
        <f aca="false">IF(A1449="","",IF(COUNTIF(A1449:A$2001,A1449)=1,1,0))</f>
        <v/>
      </c>
      <c r="AM1449" s="7" t="str">
        <f aca="true">IF(I1449="","",TODAY()-I1449)</f>
        <v/>
      </c>
      <c r="AN1449" s="7" t="str">
        <f aca="false">IF(A1449="","",IF(AND(E1449&lt;&gt;"33 確認済",E1449&lt;&gt;"36 送付中"),1,0))</f>
        <v/>
      </c>
      <c r="AO1449" s="7" t="str">
        <f aca="false">IF(A1449="","",IF(AG1449&lt;&gt;"",1,0))</f>
        <v/>
      </c>
    </row>
    <row r="1450" customFormat="false" ht="15" hidden="false" customHeight="false" outlineLevel="0" collapsed="false">
      <c r="AL1450" s="7" t="str">
        <f aca="false">IF(A1450="","",IF(COUNTIF(A1450:A$2001,A1450)=1,1,0))</f>
        <v/>
      </c>
      <c r="AM1450" s="7" t="str">
        <f aca="true">IF(I1450="","",TODAY()-I1450)</f>
        <v/>
      </c>
      <c r="AN1450" s="7" t="str">
        <f aca="false">IF(A1450="","",IF(AND(E1450&lt;&gt;"33 確認済",E1450&lt;&gt;"36 送付中"),1,0))</f>
        <v/>
      </c>
      <c r="AO1450" s="7" t="str">
        <f aca="false">IF(A1450="","",IF(AG1450&lt;&gt;"",1,0))</f>
        <v/>
      </c>
    </row>
    <row r="1451" customFormat="false" ht="15" hidden="false" customHeight="false" outlineLevel="0" collapsed="false">
      <c r="AL1451" s="7" t="str">
        <f aca="false">IF(A1451="","",IF(COUNTIF(A1451:A$2001,A1451)=1,1,0))</f>
        <v/>
      </c>
      <c r="AM1451" s="7" t="str">
        <f aca="true">IF(I1451="","",TODAY()-I1451)</f>
        <v/>
      </c>
      <c r="AN1451" s="7" t="str">
        <f aca="false">IF(A1451="","",IF(AND(E1451&lt;&gt;"33 確認済",E1451&lt;&gt;"36 送付中"),1,0))</f>
        <v/>
      </c>
      <c r="AO1451" s="7" t="str">
        <f aca="false">IF(A1451="","",IF(AG1451&lt;&gt;"",1,0))</f>
        <v/>
      </c>
    </row>
    <row r="1452" customFormat="false" ht="15" hidden="false" customHeight="false" outlineLevel="0" collapsed="false">
      <c r="AL1452" s="7" t="str">
        <f aca="false">IF(A1452="","",IF(COUNTIF(A1452:A$2001,A1452)=1,1,0))</f>
        <v/>
      </c>
      <c r="AM1452" s="7" t="str">
        <f aca="true">IF(I1452="","",TODAY()-I1452)</f>
        <v/>
      </c>
      <c r="AN1452" s="7" t="str">
        <f aca="false">IF(A1452="","",IF(AND(E1452&lt;&gt;"33 確認済",E1452&lt;&gt;"36 送付中"),1,0))</f>
        <v/>
      </c>
      <c r="AO1452" s="7" t="str">
        <f aca="false">IF(A1452="","",IF(AG1452&lt;&gt;"",1,0))</f>
        <v/>
      </c>
    </row>
    <row r="1453" customFormat="false" ht="15" hidden="false" customHeight="false" outlineLevel="0" collapsed="false">
      <c r="AL1453" s="7" t="str">
        <f aca="false">IF(A1453="","",IF(COUNTIF(A1453:A$2001,A1453)=1,1,0))</f>
        <v/>
      </c>
      <c r="AM1453" s="7" t="str">
        <f aca="true">IF(I1453="","",TODAY()-I1453)</f>
        <v/>
      </c>
      <c r="AN1453" s="7" t="str">
        <f aca="false">IF(A1453="","",IF(AND(E1453&lt;&gt;"33 確認済",E1453&lt;&gt;"36 送付中"),1,0))</f>
        <v/>
      </c>
      <c r="AO1453" s="7" t="str">
        <f aca="false">IF(A1453="","",IF(AG1453&lt;&gt;"",1,0))</f>
        <v/>
      </c>
    </row>
    <row r="1454" customFormat="false" ht="15" hidden="false" customHeight="false" outlineLevel="0" collapsed="false">
      <c r="AL1454" s="7" t="str">
        <f aca="false">IF(A1454="","",IF(COUNTIF(A1454:A$2001,A1454)=1,1,0))</f>
        <v/>
      </c>
      <c r="AM1454" s="7" t="str">
        <f aca="true">IF(I1454="","",TODAY()-I1454)</f>
        <v/>
      </c>
      <c r="AN1454" s="7" t="str">
        <f aca="false">IF(A1454="","",IF(AND(E1454&lt;&gt;"33 確認済",E1454&lt;&gt;"36 送付中"),1,0))</f>
        <v/>
      </c>
      <c r="AO1454" s="7" t="str">
        <f aca="false">IF(A1454="","",IF(AG1454&lt;&gt;"",1,0))</f>
        <v/>
      </c>
    </row>
    <row r="1455" customFormat="false" ht="15" hidden="false" customHeight="false" outlineLevel="0" collapsed="false">
      <c r="AL1455" s="7" t="str">
        <f aca="false">IF(A1455="","",IF(COUNTIF(A1455:A$2001,A1455)=1,1,0))</f>
        <v/>
      </c>
      <c r="AM1455" s="7" t="str">
        <f aca="true">IF(I1455="","",TODAY()-I1455)</f>
        <v/>
      </c>
      <c r="AN1455" s="7" t="str">
        <f aca="false">IF(A1455="","",IF(AND(E1455&lt;&gt;"33 確認済",E1455&lt;&gt;"36 送付中"),1,0))</f>
        <v/>
      </c>
      <c r="AO1455" s="7" t="str">
        <f aca="false">IF(A1455="","",IF(AG1455&lt;&gt;"",1,0))</f>
        <v/>
      </c>
    </row>
    <row r="1456" customFormat="false" ht="15" hidden="false" customHeight="false" outlineLevel="0" collapsed="false">
      <c r="AL1456" s="7" t="str">
        <f aca="false">IF(A1456="","",IF(COUNTIF(A1456:A$2001,A1456)=1,1,0))</f>
        <v/>
      </c>
      <c r="AM1456" s="7" t="str">
        <f aca="true">IF(I1456="","",TODAY()-I1456)</f>
        <v/>
      </c>
      <c r="AN1456" s="7" t="str">
        <f aca="false">IF(A1456="","",IF(AND(E1456&lt;&gt;"33 確認済",E1456&lt;&gt;"36 送付中"),1,0))</f>
        <v/>
      </c>
      <c r="AO1456" s="7" t="str">
        <f aca="false">IF(A1456="","",IF(AG1456&lt;&gt;"",1,0))</f>
        <v/>
      </c>
    </row>
    <row r="1457" customFormat="false" ht="15" hidden="false" customHeight="false" outlineLevel="0" collapsed="false">
      <c r="AL1457" s="7" t="str">
        <f aca="false">IF(A1457="","",IF(COUNTIF(A1457:A$2001,A1457)=1,1,0))</f>
        <v/>
      </c>
      <c r="AM1457" s="7" t="str">
        <f aca="true">IF(I1457="","",TODAY()-I1457)</f>
        <v/>
      </c>
      <c r="AN1457" s="7" t="str">
        <f aca="false">IF(A1457="","",IF(AND(E1457&lt;&gt;"33 確認済",E1457&lt;&gt;"36 送付中"),1,0))</f>
        <v/>
      </c>
      <c r="AO1457" s="7" t="str">
        <f aca="false">IF(A1457="","",IF(AG1457&lt;&gt;"",1,0))</f>
        <v/>
      </c>
    </row>
    <row r="1458" customFormat="false" ht="15" hidden="false" customHeight="false" outlineLevel="0" collapsed="false">
      <c r="AL1458" s="7" t="str">
        <f aca="false">IF(A1458="","",IF(COUNTIF(A1458:A$2001,A1458)=1,1,0))</f>
        <v/>
      </c>
      <c r="AM1458" s="7" t="str">
        <f aca="true">IF(I1458="","",TODAY()-I1458)</f>
        <v/>
      </c>
      <c r="AN1458" s="7" t="str">
        <f aca="false">IF(A1458="","",IF(AND(E1458&lt;&gt;"33 確認済",E1458&lt;&gt;"36 送付中"),1,0))</f>
        <v/>
      </c>
      <c r="AO1458" s="7" t="str">
        <f aca="false">IF(A1458="","",IF(AG1458&lt;&gt;"",1,0))</f>
        <v/>
      </c>
    </row>
    <row r="1459" customFormat="false" ht="15" hidden="false" customHeight="false" outlineLevel="0" collapsed="false">
      <c r="AL1459" s="7" t="str">
        <f aca="false">IF(A1459="","",IF(COUNTIF(A1459:A$2001,A1459)=1,1,0))</f>
        <v/>
      </c>
      <c r="AM1459" s="7" t="str">
        <f aca="true">IF(I1459="","",TODAY()-I1459)</f>
        <v/>
      </c>
      <c r="AN1459" s="7" t="str">
        <f aca="false">IF(A1459="","",IF(AND(E1459&lt;&gt;"33 確認済",E1459&lt;&gt;"36 送付中"),1,0))</f>
        <v/>
      </c>
      <c r="AO1459" s="7" t="str">
        <f aca="false">IF(A1459="","",IF(AG1459&lt;&gt;"",1,0))</f>
        <v/>
      </c>
    </row>
    <row r="1460" customFormat="false" ht="15" hidden="false" customHeight="false" outlineLevel="0" collapsed="false">
      <c r="AL1460" s="7" t="str">
        <f aca="false">IF(A1460="","",IF(COUNTIF(A1460:A$2001,A1460)=1,1,0))</f>
        <v/>
      </c>
      <c r="AM1460" s="7" t="str">
        <f aca="true">IF(I1460="","",TODAY()-I1460)</f>
        <v/>
      </c>
      <c r="AN1460" s="7" t="str">
        <f aca="false">IF(A1460="","",IF(AND(E1460&lt;&gt;"33 確認済",E1460&lt;&gt;"36 送付中"),1,0))</f>
        <v/>
      </c>
      <c r="AO1460" s="7" t="str">
        <f aca="false">IF(A1460="","",IF(AG1460&lt;&gt;"",1,0))</f>
        <v/>
      </c>
    </row>
    <row r="1461" customFormat="false" ht="15" hidden="false" customHeight="false" outlineLevel="0" collapsed="false">
      <c r="AL1461" s="7" t="str">
        <f aca="false">IF(A1461="","",IF(COUNTIF(A1461:A$2001,A1461)=1,1,0))</f>
        <v/>
      </c>
      <c r="AM1461" s="7" t="str">
        <f aca="true">IF(I1461="","",TODAY()-I1461)</f>
        <v/>
      </c>
      <c r="AN1461" s="7" t="str">
        <f aca="false">IF(A1461="","",IF(AND(E1461&lt;&gt;"33 確認済",E1461&lt;&gt;"36 送付中"),1,0))</f>
        <v/>
      </c>
      <c r="AO1461" s="7" t="str">
        <f aca="false">IF(A1461="","",IF(AG1461&lt;&gt;"",1,0))</f>
        <v/>
      </c>
    </row>
    <row r="1462" customFormat="false" ht="15" hidden="false" customHeight="false" outlineLevel="0" collapsed="false">
      <c r="AL1462" s="7" t="str">
        <f aca="false">IF(A1462="","",IF(COUNTIF(A1462:A$2001,A1462)=1,1,0))</f>
        <v/>
      </c>
      <c r="AM1462" s="7" t="str">
        <f aca="true">IF(I1462="","",TODAY()-I1462)</f>
        <v/>
      </c>
      <c r="AN1462" s="7" t="str">
        <f aca="false">IF(A1462="","",IF(AND(E1462&lt;&gt;"33 確認済",E1462&lt;&gt;"36 送付中"),1,0))</f>
        <v/>
      </c>
      <c r="AO1462" s="7" t="str">
        <f aca="false">IF(A1462="","",IF(AG1462&lt;&gt;"",1,0))</f>
        <v/>
      </c>
    </row>
    <row r="1463" customFormat="false" ht="15" hidden="false" customHeight="false" outlineLevel="0" collapsed="false">
      <c r="AL1463" s="7" t="str">
        <f aca="false">IF(A1463="","",IF(COUNTIF(A1463:A$2001,A1463)=1,1,0))</f>
        <v/>
      </c>
      <c r="AM1463" s="7" t="str">
        <f aca="true">IF(I1463="","",TODAY()-I1463)</f>
        <v/>
      </c>
      <c r="AN1463" s="7" t="str">
        <f aca="false">IF(A1463="","",IF(AND(E1463&lt;&gt;"33 確認済",E1463&lt;&gt;"36 送付中"),1,0))</f>
        <v/>
      </c>
      <c r="AO1463" s="7" t="str">
        <f aca="false">IF(A1463="","",IF(AG1463&lt;&gt;"",1,0))</f>
        <v/>
      </c>
    </row>
    <row r="1464" customFormat="false" ht="15" hidden="false" customHeight="false" outlineLevel="0" collapsed="false">
      <c r="AL1464" s="7" t="str">
        <f aca="false">IF(A1464="","",IF(COUNTIF(A1464:A$2001,A1464)=1,1,0))</f>
        <v/>
      </c>
      <c r="AM1464" s="7" t="str">
        <f aca="true">IF(I1464="","",TODAY()-I1464)</f>
        <v/>
      </c>
      <c r="AN1464" s="7" t="str">
        <f aca="false">IF(A1464="","",IF(AND(E1464&lt;&gt;"33 確認済",E1464&lt;&gt;"36 送付中"),1,0))</f>
        <v/>
      </c>
      <c r="AO1464" s="7" t="str">
        <f aca="false">IF(A1464="","",IF(AG1464&lt;&gt;"",1,0))</f>
        <v/>
      </c>
    </row>
    <row r="1465" customFormat="false" ht="15" hidden="false" customHeight="false" outlineLevel="0" collapsed="false">
      <c r="AL1465" s="7" t="str">
        <f aca="false">IF(A1465="","",IF(COUNTIF(A1465:A$2001,A1465)=1,1,0))</f>
        <v/>
      </c>
      <c r="AM1465" s="7" t="str">
        <f aca="true">IF(I1465="","",TODAY()-I1465)</f>
        <v/>
      </c>
      <c r="AN1465" s="7" t="str">
        <f aca="false">IF(A1465="","",IF(AND(E1465&lt;&gt;"33 確認済",E1465&lt;&gt;"36 送付中"),1,0))</f>
        <v/>
      </c>
      <c r="AO1465" s="7" t="str">
        <f aca="false">IF(A1465="","",IF(AG1465&lt;&gt;"",1,0))</f>
        <v/>
      </c>
    </row>
    <row r="1466" customFormat="false" ht="15" hidden="false" customHeight="false" outlineLevel="0" collapsed="false">
      <c r="AL1466" s="7" t="str">
        <f aca="false">IF(A1466="","",IF(COUNTIF(A1466:A$2001,A1466)=1,1,0))</f>
        <v/>
      </c>
      <c r="AM1466" s="7" t="str">
        <f aca="true">IF(I1466="","",TODAY()-I1466)</f>
        <v/>
      </c>
      <c r="AN1466" s="7" t="str">
        <f aca="false">IF(A1466="","",IF(AND(E1466&lt;&gt;"33 確認済",E1466&lt;&gt;"36 送付中"),1,0))</f>
        <v/>
      </c>
      <c r="AO1466" s="7" t="str">
        <f aca="false">IF(A1466="","",IF(AG1466&lt;&gt;"",1,0))</f>
        <v/>
      </c>
    </row>
    <row r="1467" customFormat="false" ht="15" hidden="false" customHeight="false" outlineLevel="0" collapsed="false">
      <c r="AL1467" s="7" t="str">
        <f aca="false">IF(A1467="","",IF(COUNTIF(A1467:A$2001,A1467)=1,1,0))</f>
        <v/>
      </c>
      <c r="AM1467" s="7" t="str">
        <f aca="true">IF(I1467="","",TODAY()-I1467)</f>
        <v/>
      </c>
      <c r="AN1467" s="7" t="str">
        <f aca="false">IF(A1467="","",IF(AND(E1467&lt;&gt;"33 確認済",E1467&lt;&gt;"36 送付中"),1,0))</f>
        <v/>
      </c>
      <c r="AO1467" s="7" t="str">
        <f aca="false">IF(A1467="","",IF(AG1467&lt;&gt;"",1,0))</f>
        <v/>
      </c>
    </row>
    <row r="1468" customFormat="false" ht="15" hidden="false" customHeight="false" outlineLevel="0" collapsed="false">
      <c r="AL1468" s="7" t="str">
        <f aca="false">IF(A1468="","",IF(COUNTIF(A1468:A$2001,A1468)=1,1,0))</f>
        <v/>
      </c>
      <c r="AM1468" s="7" t="str">
        <f aca="true">IF(I1468="","",TODAY()-I1468)</f>
        <v/>
      </c>
      <c r="AN1468" s="7" t="str">
        <f aca="false">IF(A1468="","",IF(AND(E1468&lt;&gt;"33 確認済",E1468&lt;&gt;"36 送付中"),1,0))</f>
        <v/>
      </c>
      <c r="AO1468" s="7" t="str">
        <f aca="false">IF(A1468="","",IF(AG1468&lt;&gt;"",1,0))</f>
        <v/>
      </c>
    </row>
    <row r="1469" customFormat="false" ht="15" hidden="false" customHeight="false" outlineLevel="0" collapsed="false">
      <c r="AL1469" s="7" t="str">
        <f aca="false">IF(A1469="","",IF(COUNTIF(A1469:A$2001,A1469)=1,1,0))</f>
        <v/>
      </c>
      <c r="AM1469" s="7" t="str">
        <f aca="true">IF(I1469="","",TODAY()-I1469)</f>
        <v/>
      </c>
      <c r="AN1469" s="7" t="str">
        <f aca="false">IF(A1469="","",IF(AND(E1469&lt;&gt;"33 確認済",E1469&lt;&gt;"36 送付中"),1,0))</f>
        <v/>
      </c>
      <c r="AO1469" s="7" t="str">
        <f aca="false">IF(A1469="","",IF(AG1469&lt;&gt;"",1,0))</f>
        <v/>
      </c>
    </row>
    <row r="1470" customFormat="false" ht="15" hidden="false" customHeight="false" outlineLevel="0" collapsed="false">
      <c r="AL1470" s="7" t="str">
        <f aca="false">IF(A1470="","",IF(COUNTIF(A1470:A$2001,A1470)=1,1,0))</f>
        <v/>
      </c>
      <c r="AM1470" s="7" t="str">
        <f aca="true">IF(I1470="","",TODAY()-I1470)</f>
        <v/>
      </c>
      <c r="AN1470" s="7" t="str">
        <f aca="false">IF(A1470="","",IF(AND(E1470&lt;&gt;"33 確認済",E1470&lt;&gt;"36 送付中"),1,0))</f>
        <v/>
      </c>
      <c r="AO1470" s="7" t="str">
        <f aca="false">IF(A1470="","",IF(AG1470&lt;&gt;"",1,0))</f>
        <v/>
      </c>
    </row>
    <row r="1471" customFormat="false" ht="15" hidden="false" customHeight="false" outlineLevel="0" collapsed="false">
      <c r="AL1471" s="7" t="str">
        <f aca="false">IF(A1471="","",IF(COUNTIF(A1471:A$2001,A1471)=1,1,0))</f>
        <v/>
      </c>
      <c r="AM1471" s="7" t="str">
        <f aca="true">IF(I1471="","",TODAY()-I1471)</f>
        <v/>
      </c>
      <c r="AN1471" s="7" t="str">
        <f aca="false">IF(A1471="","",IF(AND(E1471&lt;&gt;"33 確認済",E1471&lt;&gt;"36 送付中"),1,0))</f>
        <v/>
      </c>
      <c r="AO1471" s="7" t="str">
        <f aca="false">IF(A1471="","",IF(AG1471&lt;&gt;"",1,0))</f>
        <v/>
      </c>
    </row>
    <row r="1472" customFormat="false" ht="15" hidden="false" customHeight="false" outlineLevel="0" collapsed="false">
      <c r="AL1472" s="7" t="str">
        <f aca="false">IF(A1472="","",IF(COUNTIF(A1472:A$2001,A1472)=1,1,0))</f>
        <v/>
      </c>
      <c r="AM1472" s="7" t="str">
        <f aca="true">IF(I1472="","",TODAY()-I1472)</f>
        <v/>
      </c>
      <c r="AN1472" s="7" t="str">
        <f aca="false">IF(A1472="","",IF(AND(E1472&lt;&gt;"33 確認済",E1472&lt;&gt;"36 送付中"),1,0))</f>
        <v/>
      </c>
      <c r="AO1472" s="7" t="str">
        <f aca="false">IF(A1472="","",IF(AG1472&lt;&gt;"",1,0))</f>
        <v/>
      </c>
    </row>
    <row r="1473" customFormat="false" ht="15" hidden="false" customHeight="false" outlineLevel="0" collapsed="false">
      <c r="AL1473" s="7" t="str">
        <f aca="false">IF(A1473="","",IF(COUNTIF(A1473:A$2001,A1473)=1,1,0))</f>
        <v/>
      </c>
      <c r="AM1473" s="7" t="str">
        <f aca="true">IF(I1473="","",TODAY()-I1473)</f>
        <v/>
      </c>
      <c r="AN1473" s="7" t="str">
        <f aca="false">IF(A1473="","",IF(AND(E1473&lt;&gt;"33 確認済",E1473&lt;&gt;"36 送付中"),1,0))</f>
        <v/>
      </c>
      <c r="AO1473" s="7" t="str">
        <f aca="false">IF(A1473="","",IF(AG1473&lt;&gt;"",1,0))</f>
        <v/>
      </c>
    </row>
    <row r="1474" customFormat="false" ht="15" hidden="false" customHeight="false" outlineLevel="0" collapsed="false">
      <c r="AL1474" s="7" t="str">
        <f aca="false">IF(A1474="","",IF(COUNTIF(A1474:A$2001,A1474)=1,1,0))</f>
        <v/>
      </c>
      <c r="AM1474" s="7" t="str">
        <f aca="true">IF(I1474="","",TODAY()-I1474)</f>
        <v/>
      </c>
      <c r="AN1474" s="7" t="str">
        <f aca="false">IF(A1474="","",IF(AND(E1474&lt;&gt;"33 確認済",E1474&lt;&gt;"36 送付中"),1,0))</f>
        <v/>
      </c>
      <c r="AO1474" s="7" t="str">
        <f aca="false">IF(A1474="","",IF(AG1474&lt;&gt;"",1,0))</f>
        <v/>
      </c>
    </row>
    <row r="1475" customFormat="false" ht="15" hidden="false" customHeight="false" outlineLevel="0" collapsed="false">
      <c r="AL1475" s="7" t="str">
        <f aca="false">IF(A1475="","",IF(COUNTIF(A1475:A$2001,A1475)=1,1,0))</f>
        <v/>
      </c>
      <c r="AM1475" s="7" t="str">
        <f aca="true">IF(I1475="","",TODAY()-I1475)</f>
        <v/>
      </c>
      <c r="AN1475" s="7" t="str">
        <f aca="false">IF(A1475="","",IF(AND(E1475&lt;&gt;"33 確認済",E1475&lt;&gt;"36 送付中"),1,0))</f>
        <v/>
      </c>
      <c r="AO1475" s="7" t="str">
        <f aca="false">IF(A1475="","",IF(AG1475&lt;&gt;"",1,0))</f>
        <v/>
      </c>
    </row>
    <row r="1476" customFormat="false" ht="15" hidden="false" customHeight="false" outlineLevel="0" collapsed="false">
      <c r="AL1476" s="7" t="str">
        <f aca="false">IF(A1476="","",IF(COUNTIF(A1476:A$2001,A1476)=1,1,0))</f>
        <v/>
      </c>
      <c r="AM1476" s="7" t="str">
        <f aca="true">IF(I1476="","",TODAY()-I1476)</f>
        <v/>
      </c>
      <c r="AN1476" s="7" t="str">
        <f aca="false">IF(A1476="","",IF(AND(E1476&lt;&gt;"33 確認済",E1476&lt;&gt;"36 送付中"),1,0))</f>
        <v/>
      </c>
      <c r="AO1476" s="7" t="str">
        <f aca="false">IF(A1476="","",IF(AG1476&lt;&gt;"",1,0))</f>
        <v/>
      </c>
    </row>
    <row r="1477" customFormat="false" ht="15" hidden="false" customHeight="false" outlineLevel="0" collapsed="false">
      <c r="AL1477" s="7" t="str">
        <f aca="false">IF(A1477="","",IF(COUNTIF(A1477:A$2001,A1477)=1,1,0))</f>
        <v/>
      </c>
      <c r="AM1477" s="7" t="str">
        <f aca="true">IF(I1477="","",TODAY()-I1477)</f>
        <v/>
      </c>
      <c r="AN1477" s="7" t="str">
        <f aca="false">IF(A1477="","",IF(AND(E1477&lt;&gt;"33 確認済",E1477&lt;&gt;"36 送付中"),1,0))</f>
        <v/>
      </c>
      <c r="AO1477" s="7" t="str">
        <f aca="false">IF(A1477="","",IF(AG1477&lt;&gt;"",1,0))</f>
        <v/>
      </c>
    </row>
    <row r="1478" customFormat="false" ht="15" hidden="false" customHeight="false" outlineLevel="0" collapsed="false">
      <c r="AL1478" s="7" t="str">
        <f aca="false">IF(A1478="","",IF(COUNTIF(A1478:A$2001,A1478)=1,1,0))</f>
        <v/>
      </c>
      <c r="AM1478" s="7" t="str">
        <f aca="true">IF(I1478="","",TODAY()-I1478)</f>
        <v/>
      </c>
      <c r="AN1478" s="7" t="str">
        <f aca="false">IF(A1478="","",IF(AND(E1478&lt;&gt;"33 確認済",E1478&lt;&gt;"36 送付中"),1,0))</f>
        <v/>
      </c>
      <c r="AO1478" s="7" t="str">
        <f aca="false">IF(A1478="","",IF(AG1478&lt;&gt;"",1,0))</f>
        <v/>
      </c>
    </row>
    <row r="1479" customFormat="false" ht="15" hidden="false" customHeight="false" outlineLevel="0" collapsed="false">
      <c r="AL1479" s="7" t="str">
        <f aca="false">IF(A1479="","",IF(COUNTIF(A1479:A$2001,A1479)=1,1,0))</f>
        <v/>
      </c>
      <c r="AM1479" s="7" t="str">
        <f aca="true">IF(I1479="","",TODAY()-I1479)</f>
        <v/>
      </c>
      <c r="AN1479" s="7" t="str">
        <f aca="false">IF(A1479="","",IF(AND(E1479&lt;&gt;"33 確認済",E1479&lt;&gt;"36 送付中"),1,0))</f>
        <v/>
      </c>
      <c r="AO1479" s="7" t="str">
        <f aca="false">IF(A1479="","",IF(AG1479&lt;&gt;"",1,0))</f>
        <v/>
      </c>
    </row>
    <row r="1480" customFormat="false" ht="15" hidden="false" customHeight="false" outlineLevel="0" collapsed="false">
      <c r="AL1480" s="7" t="str">
        <f aca="false">IF(A1480="","",IF(COUNTIF(A1480:A$2001,A1480)=1,1,0))</f>
        <v/>
      </c>
      <c r="AM1480" s="7" t="str">
        <f aca="true">IF(I1480="","",TODAY()-I1480)</f>
        <v/>
      </c>
      <c r="AN1480" s="7" t="str">
        <f aca="false">IF(A1480="","",IF(AND(E1480&lt;&gt;"33 確認済",E1480&lt;&gt;"36 送付中"),1,0))</f>
        <v/>
      </c>
      <c r="AO1480" s="7" t="str">
        <f aca="false">IF(A1480="","",IF(AG1480&lt;&gt;"",1,0))</f>
        <v/>
      </c>
    </row>
    <row r="1481" customFormat="false" ht="15" hidden="false" customHeight="false" outlineLevel="0" collapsed="false">
      <c r="AL1481" s="7" t="str">
        <f aca="false">IF(A1481="","",IF(COUNTIF(A1481:A$2001,A1481)=1,1,0))</f>
        <v/>
      </c>
      <c r="AM1481" s="7" t="str">
        <f aca="true">IF(I1481="","",TODAY()-I1481)</f>
        <v/>
      </c>
      <c r="AN1481" s="7" t="str">
        <f aca="false">IF(A1481="","",IF(AND(E1481&lt;&gt;"33 確認済",E1481&lt;&gt;"36 送付中"),1,0))</f>
        <v/>
      </c>
      <c r="AO1481" s="7" t="str">
        <f aca="false">IF(A1481="","",IF(AG1481&lt;&gt;"",1,0))</f>
        <v/>
      </c>
    </row>
    <row r="1482" customFormat="false" ht="15" hidden="false" customHeight="false" outlineLevel="0" collapsed="false">
      <c r="AL1482" s="7" t="str">
        <f aca="false">IF(A1482="","",IF(COUNTIF(A1482:A$2001,A1482)=1,1,0))</f>
        <v/>
      </c>
      <c r="AM1482" s="7" t="str">
        <f aca="true">IF(I1482="","",TODAY()-I1482)</f>
        <v/>
      </c>
      <c r="AN1482" s="7" t="str">
        <f aca="false">IF(A1482="","",IF(AND(E1482&lt;&gt;"33 確認済",E1482&lt;&gt;"36 送付中"),1,0))</f>
        <v/>
      </c>
      <c r="AO1482" s="7" t="str">
        <f aca="false">IF(A1482="","",IF(AG1482&lt;&gt;"",1,0))</f>
        <v/>
      </c>
    </row>
    <row r="1483" customFormat="false" ht="15" hidden="false" customHeight="false" outlineLevel="0" collapsed="false">
      <c r="AL1483" s="7" t="str">
        <f aca="false">IF(A1483="","",IF(COUNTIF(A1483:A$2001,A1483)=1,1,0))</f>
        <v/>
      </c>
      <c r="AM1483" s="7" t="str">
        <f aca="true">IF(I1483="","",TODAY()-I1483)</f>
        <v/>
      </c>
      <c r="AN1483" s="7" t="str">
        <f aca="false">IF(A1483="","",IF(AND(E1483&lt;&gt;"33 確認済",E1483&lt;&gt;"36 送付中"),1,0))</f>
        <v/>
      </c>
      <c r="AO1483" s="7" t="str">
        <f aca="false">IF(A1483="","",IF(AG1483&lt;&gt;"",1,0))</f>
        <v/>
      </c>
    </row>
    <row r="1484" customFormat="false" ht="15" hidden="false" customHeight="false" outlineLevel="0" collapsed="false">
      <c r="AL1484" s="7" t="str">
        <f aca="false">IF(A1484="","",IF(COUNTIF(A1484:A$2001,A1484)=1,1,0))</f>
        <v/>
      </c>
      <c r="AM1484" s="7" t="str">
        <f aca="true">IF(I1484="","",TODAY()-I1484)</f>
        <v/>
      </c>
      <c r="AN1484" s="7" t="str">
        <f aca="false">IF(A1484="","",IF(AND(E1484&lt;&gt;"33 確認済",E1484&lt;&gt;"36 送付中"),1,0))</f>
        <v/>
      </c>
      <c r="AO1484" s="7" t="str">
        <f aca="false">IF(A1484="","",IF(AG1484&lt;&gt;"",1,0))</f>
        <v/>
      </c>
    </row>
    <row r="1485" customFormat="false" ht="15" hidden="false" customHeight="false" outlineLevel="0" collapsed="false">
      <c r="AL1485" s="7" t="str">
        <f aca="false">IF(A1485="","",IF(COUNTIF(A1485:A$2001,A1485)=1,1,0))</f>
        <v/>
      </c>
      <c r="AM1485" s="7" t="str">
        <f aca="true">IF(I1485="","",TODAY()-I1485)</f>
        <v/>
      </c>
      <c r="AN1485" s="7" t="str">
        <f aca="false">IF(A1485="","",IF(AND(E1485&lt;&gt;"33 確認済",E1485&lt;&gt;"36 送付中"),1,0))</f>
        <v/>
      </c>
      <c r="AO1485" s="7" t="str">
        <f aca="false">IF(A1485="","",IF(AG1485&lt;&gt;"",1,0))</f>
        <v/>
      </c>
    </row>
    <row r="1486" customFormat="false" ht="15" hidden="false" customHeight="false" outlineLevel="0" collapsed="false">
      <c r="AL1486" s="7" t="str">
        <f aca="false">IF(A1486="","",IF(COUNTIF(A1486:A$2001,A1486)=1,1,0))</f>
        <v/>
      </c>
      <c r="AM1486" s="7" t="str">
        <f aca="true">IF(I1486="","",TODAY()-I1486)</f>
        <v/>
      </c>
      <c r="AN1486" s="7" t="str">
        <f aca="false">IF(A1486="","",IF(AND(E1486&lt;&gt;"33 確認済",E1486&lt;&gt;"36 送付中"),1,0))</f>
        <v/>
      </c>
      <c r="AO1486" s="7" t="str">
        <f aca="false">IF(A1486="","",IF(AG1486&lt;&gt;"",1,0))</f>
        <v/>
      </c>
    </row>
    <row r="1487" customFormat="false" ht="15" hidden="false" customHeight="false" outlineLevel="0" collapsed="false">
      <c r="AL1487" s="7" t="str">
        <f aca="false">IF(A1487="","",IF(COUNTIF(A1487:A$2001,A1487)=1,1,0))</f>
        <v/>
      </c>
      <c r="AM1487" s="7" t="str">
        <f aca="true">IF(I1487="","",TODAY()-I1487)</f>
        <v/>
      </c>
      <c r="AN1487" s="7" t="str">
        <f aca="false">IF(A1487="","",IF(AND(E1487&lt;&gt;"33 確認済",E1487&lt;&gt;"36 送付中"),1,0))</f>
        <v/>
      </c>
      <c r="AO1487" s="7" t="str">
        <f aca="false">IF(A1487="","",IF(AG1487&lt;&gt;"",1,0))</f>
        <v/>
      </c>
    </row>
    <row r="1488" customFormat="false" ht="15" hidden="false" customHeight="false" outlineLevel="0" collapsed="false">
      <c r="AL1488" s="7" t="str">
        <f aca="false">IF(A1488="","",IF(COUNTIF(A1488:A$2001,A1488)=1,1,0))</f>
        <v/>
      </c>
      <c r="AM1488" s="7" t="str">
        <f aca="true">IF(I1488="","",TODAY()-I1488)</f>
        <v/>
      </c>
      <c r="AN1488" s="7" t="str">
        <f aca="false">IF(A1488="","",IF(AND(E1488&lt;&gt;"33 確認済",E1488&lt;&gt;"36 送付中"),1,0))</f>
        <v/>
      </c>
      <c r="AO1488" s="7" t="str">
        <f aca="false">IF(A1488="","",IF(AG1488&lt;&gt;"",1,0))</f>
        <v/>
      </c>
    </row>
    <row r="1489" customFormat="false" ht="15" hidden="false" customHeight="false" outlineLevel="0" collapsed="false">
      <c r="AL1489" s="7" t="str">
        <f aca="false">IF(A1489="","",IF(COUNTIF(A1489:A$2001,A1489)=1,1,0))</f>
        <v/>
      </c>
      <c r="AM1489" s="7" t="str">
        <f aca="true">IF(I1489="","",TODAY()-I1489)</f>
        <v/>
      </c>
      <c r="AN1489" s="7" t="str">
        <f aca="false">IF(A1489="","",IF(AND(E1489&lt;&gt;"33 確認済",E1489&lt;&gt;"36 送付中"),1,0))</f>
        <v/>
      </c>
      <c r="AO1489" s="7" t="str">
        <f aca="false">IF(A1489="","",IF(AG1489&lt;&gt;"",1,0))</f>
        <v/>
      </c>
    </row>
    <row r="1490" customFormat="false" ht="15" hidden="false" customHeight="false" outlineLevel="0" collapsed="false">
      <c r="AL1490" s="7" t="str">
        <f aca="false">IF(A1490="","",IF(COUNTIF(A1490:A$2001,A1490)=1,1,0))</f>
        <v/>
      </c>
      <c r="AM1490" s="7" t="str">
        <f aca="true">IF(I1490="","",TODAY()-I1490)</f>
        <v/>
      </c>
      <c r="AN1490" s="7" t="str">
        <f aca="false">IF(A1490="","",IF(AND(E1490&lt;&gt;"33 確認済",E1490&lt;&gt;"36 送付中"),1,0))</f>
        <v/>
      </c>
      <c r="AO1490" s="7" t="str">
        <f aca="false">IF(A1490="","",IF(AG1490&lt;&gt;"",1,0))</f>
        <v/>
      </c>
    </row>
    <row r="1491" customFormat="false" ht="15" hidden="false" customHeight="false" outlineLevel="0" collapsed="false">
      <c r="AL1491" s="7" t="str">
        <f aca="false">IF(A1491="","",IF(COUNTIF(A1491:A$2001,A1491)=1,1,0))</f>
        <v/>
      </c>
      <c r="AM1491" s="7" t="str">
        <f aca="true">IF(I1491="","",TODAY()-I1491)</f>
        <v/>
      </c>
      <c r="AN1491" s="7" t="str">
        <f aca="false">IF(A1491="","",IF(AND(E1491&lt;&gt;"33 確認済",E1491&lt;&gt;"36 送付中"),1,0))</f>
        <v/>
      </c>
      <c r="AO1491" s="7" t="str">
        <f aca="false">IF(A1491="","",IF(AG1491&lt;&gt;"",1,0))</f>
        <v/>
      </c>
    </row>
    <row r="1492" customFormat="false" ht="15" hidden="false" customHeight="false" outlineLevel="0" collapsed="false">
      <c r="AL1492" s="7" t="str">
        <f aca="false">IF(A1492="","",IF(COUNTIF(A1492:A$2001,A1492)=1,1,0))</f>
        <v/>
      </c>
      <c r="AM1492" s="7" t="str">
        <f aca="true">IF(I1492="","",TODAY()-I1492)</f>
        <v/>
      </c>
      <c r="AN1492" s="7" t="str">
        <f aca="false">IF(A1492="","",IF(AND(E1492&lt;&gt;"33 確認済",E1492&lt;&gt;"36 送付中"),1,0))</f>
        <v/>
      </c>
      <c r="AO1492" s="7" t="str">
        <f aca="false">IF(A1492="","",IF(AG1492&lt;&gt;"",1,0))</f>
        <v/>
      </c>
    </row>
    <row r="1493" customFormat="false" ht="15" hidden="false" customHeight="false" outlineLevel="0" collapsed="false">
      <c r="AL1493" s="7" t="str">
        <f aca="false">IF(A1493="","",IF(COUNTIF(A1493:A$2001,A1493)=1,1,0))</f>
        <v/>
      </c>
      <c r="AM1493" s="7" t="str">
        <f aca="true">IF(I1493="","",TODAY()-I1493)</f>
        <v/>
      </c>
      <c r="AN1493" s="7" t="str">
        <f aca="false">IF(A1493="","",IF(AND(E1493&lt;&gt;"33 確認済",E1493&lt;&gt;"36 送付中"),1,0))</f>
        <v/>
      </c>
      <c r="AO1493" s="7" t="str">
        <f aca="false">IF(A1493="","",IF(AG1493&lt;&gt;"",1,0))</f>
        <v/>
      </c>
    </row>
    <row r="1494" customFormat="false" ht="15" hidden="false" customHeight="false" outlineLevel="0" collapsed="false">
      <c r="AL1494" s="7" t="str">
        <f aca="false">IF(A1494="","",IF(COUNTIF(A1494:A$2001,A1494)=1,1,0))</f>
        <v/>
      </c>
      <c r="AM1494" s="7" t="str">
        <f aca="true">IF(I1494="","",TODAY()-I1494)</f>
        <v/>
      </c>
      <c r="AN1494" s="7" t="str">
        <f aca="false">IF(A1494="","",IF(AND(E1494&lt;&gt;"33 確認済",E1494&lt;&gt;"36 送付中"),1,0))</f>
        <v/>
      </c>
      <c r="AO1494" s="7" t="str">
        <f aca="false">IF(A1494="","",IF(AG1494&lt;&gt;"",1,0))</f>
        <v/>
      </c>
    </row>
    <row r="1495" customFormat="false" ht="15" hidden="false" customHeight="false" outlineLevel="0" collapsed="false">
      <c r="AL1495" s="7" t="str">
        <f aca="false">IF(A1495="","",IF(COUNTIF(A1495:A$2001,A1495)=1,1,0))</f>
        <v/>
      </c>
      <c r="AM1495" s="7" t="str">
        <f aca="true">IF(I1495="","",TODAY()-I1495)</f>
        <v/>
      </c>
      <c r="AN1495" s="7" t="str">
        <f aca="false">IF(A1495="","",IF(AND(E1495&lt;&gt;"33 確認済",E1495&lt;&gt;"36 送付中"),1,0))</f>
        <v/>
      </c>
      <c r="AO1495" s="7" t="str">
        <f aca="false">IF(A1495="","",IF(AG1495&lt;&gt;"",1,0))</f>
        <v/>
      </c>
    </row>
    <row r="1496" customFormat="false" ht="15" hidden="false" customHeight="false" outlineLevel="0" collapsed="false">
      <c r="AL1496" s="7" t="str">
        <f aca="false">IF(A1496="","",IF(COUNTIF(A1496:A$2001,A1496)=1,1,0))</f>
        <v/>
      </c>
      <c r="AM1496" s="7" t="str">
        <f aca="true">IF(I1496="","",TODAY()-I1496)</f>
        <v/>
      </c>
      <c r="AN1496" s="7" t="str">
        <f aca="false">IF(A1496="","",IF(AND(E1496&lt;&gt;"33 確認済",E1496&lt;&gt;"36 送付中"),1,0))</f>
        <v/>
      </c>
      <c r="AO1496" s="7" t="str">
        <f aca="false">IF(A1496="","",IF(AG1496&lt;&gt;"",1,0))</f>
        <v/>
      </c>
    </row>
    <row r="1497" customFormat="false" ht="15" hidden="false" customHeight="false" outlineLevel="0" collapsed="false">
      <c r="AL1497" s="7" t="str">
        <f aca="false">IF(A1497="","",IF(COUNTIF(A1497:A$2001,A1497)=1,1,0))</f>
        <v/>
      </c>
      <c r="AM1497" s="7" t="str">
        <f aca="true">IF(I1497="","",TODAY()-I1497)</f>
        <v/>
      </c>
      <c r="AN1497" s="7" t="str">
        <f aca="false">IF(A1497="","",IF(AND(E1497&lt;&gt;"33 確認済",E1497&lt;&gt;"36 送付中"),1,0))</f>
        <v/>
      </c>
      <c r="AO1497" s="7" t="str">
        <f aca="false">IF(A1497="","",IF(AG1497&lt;&gt;"",1,0))</f>
        <v/>
      </c>
    </row>
    <row r="1498" customFormat="false" ht="15" hidden="false" customHeight="false" outlineLevel="0" collapsed="false">
      <c r="AL1498" s="7" t="str">
        <f aca="false">IF(A1498="","",IF(COUNTIF(A1498:A$2001,A1498)=1,1,0))</f>
        <v/>
      </c>
      <c r="AM1498" s="7" t="str">
        <f aca="true">IF(I1498="","",TODAY()-I1498)</f>
        <v/>
      </c>
      <c r="AN1498" s="7" t="str">
        <f aca="false">IF(A1498="","",IF(AND(E1498&lt;&gt;"33 確認済",E1498&lt;&gt;"36 送付中"),1,0))</f>
        <v/>
      </c>
      <c r="AO1498" s="7" t="str">
        <f aca="false">IF(A1498="","",IF(AG1498&lt;&gt;"",1,0))</f>
        <v/>
      </c>
    </row>
    <row r="1499" customFormat="false" ht="15" hidden="false" customHeight="false" outlineLevel="0" collapsed="false">
      <c r="AL1499" s="7" t="str">
        <f aca="false">IF(A1499="","",IF(COUNTIF(A1499:A$2001,A1499)=1,1,0))</f>
        <v/>
      </c>
      <c r="AM1499" s="7" t="str">
        <f aca="true">IF(I1499="","",TODAY()-I1499)</f>
        <v/>
      </c>
      <c r="AN1499" s="7" t="str">
        <f aca="false">IF(A1499="","",IF(AND(E1499&lt;&gt;"33 確認済",E1499&lt;&gt;"36 送付中"),1,0))</f>
        <v/>
      </c>
      <c r="AO1499" s="7" t="str">
        <f aca="false">IF(A1499="","",IF(AG1499&lt;&gt;"",1,0))</f>
        <v/>
      </c>
    </row>
    <row r="1500" customFormat="false" ht="15" hidden="false" customHeight="false" outlineLevel="0" collapsed="false">
      <c r="AL1500" s="7" t="str">
        <f aca="false">IF(A1500="","",IF(COUNTIF(A1500:A$2001,A1500)=1,1,0))</f>
        <v/>
      </c>
      <c r="AM1500" s="7" t="str">
        <f aca="true">IF(I1500="","",TODAY()-I1500)</f>
        <v/>
      </c>
      <c r="AN1500" s="7" t="str">
        <f aca="false">IF(A1500="","",IF(AND(E1500&lt;&gt;"33 確認済",E1500&lt;&gt;"36 送付中"),1,0))</f>
        <v/>
      </c>
      <c r="AO1500" s="7" t="str">
        <f aca="false">IF(A1500="","",IF(AG1500&lt;&gt;"",1,0))</f>
        <v/>
      </c>
    </row>
    <row r="1501" customFormat="false" ht="15" hidden="false" customHeight="false" outlineLevel="0" collapsed="false">
      <c r="AL1501" s="7" t="str">
        <f aca="false">IF(A1501="","",IF(COUNTIF(A1501:A$2001,A1501)=1,1,0))</f>
        <v/>
      </c>
      <c r="AM1501" s="7" t="str">
        <f aca="true">IF(I1501="","",TODAY()-I1501)</f>
        <v/>
      </c>
      <c r="AN1501" s="7" t="str">
        <f aca="false">IF(A1501="","",IF(AND(E1501&lt;&gt;"33 確認済",E1501&lt;&gt;"36 送付中"),1,0))</f>
        <v/>
      </c>
      <c r="AO1501" s="7" t="str">
        <f aca="false">IF(A1501="","",IF(AG1501&lt;&gt;"",1,0))</f>
        <v/>
      </c>
    </row>
    <row r="1502" customFormat="false" ht="15" hidden="false" customHeight="false" outlineLevel="0" collapsed="false">
      <c r="AL1502" s="7" t="str">
        <f aca="false">IF(A1502="","",IF(COUNTIF(A1502:A$2001,A1502)=1,1,0))</f>
        <v/>
      </c>
      <c r="AM1502" s="7" t="str">
        <f aca="true">IF(I1502="","",TODAY()-I1502)</f>
        <v/>
      </c>
      <c r="AN1502" s="7" t="str">
        <f aca="false">IF(A1502="","",IF(AND(E1502&lt;&gt;"33 確認済",E1502&lt;&gt;"36 送付中"),1,0))</f>
        <v/>
      </c>
      <c r="AO1502" s="7" t="str">
        <f aca="false">IF(A1502="","",IF(AG1502&lt;&gt;"",1,0))</f>
        <v/>
      </c>
    </row>
    <row r="1503" customFormat="false" ht="15" hidden="false" customHeight="false" outlineLevel="0" collapsed="false">
      <c r="AL1503" s="7" t="str">
        <f aca="false">IF(A1503="","",IF(COUNTIF(A1503:A$2001,A1503)=1,1,0))</f>
        <v/>
      </c>
      <c r="AM1503" s="7" t="str">
        <f aca="true">IF(I1503="","",TODAY()-I1503)</f>
        <v/>
      </c>
      <c r="AN1503" s="7" t="str">
        <f aca="false">IF(A1503="","",IF(AND(E1503&lt;&gt;"33 確認済",E1503&lt;&gt;"36 送付中"),1,0))</f>
        <v/>
      </c>
      <c r="AO1503" s="7" t="str">
        <f aca="false">IF(A1503="","",IF(AG1503&lt;&gt;"",1,0))</f>
        <v/>
      </c>
    </row>
    <row r="1504" customFormat="false" ht="15" hidden="false" customHeight="false" outlineLevel="0" collapsed="false">
      <c r="AL1504" s="7" t="str">
        <f aca="false">IF(A1504="","",IF(COUNTIF(A1504:A$2001,A1504)=1,1,0))</f>
        <v/>
      </c>
      <c r="AM1504" s="7" t="str">
        <f aca="true">IF(I1504="","",TODAY()-I1504)</f>
        <v/>
      </c>
      <c r="AN1504" s="7" t="str">
        <f aca="false">IF(A1504="","",IF(AND(E1504&lt;&gt;"33 確認済",E1504&lt;&gt;"36 送付中"),1,0))</f>
        <v/>
      </c>
      <c r="AO1504" s="7" t="str">
        <f aca="false">IF(A1504="","",IF(AG1504&lt;&gt;"",1,0))</f>
        <v/>
      </c>
    </row>
    <row r="1505" customFormat="false" ht="15" hidden="false" customHeight="false" outlineLevel="0" collapsed="false">
      <c r="AL1505" s="7" t="str">
        <f aca="false">IF(A1505="","",IF(COUNTIF(A1505:A$2001,A1505)=1,1,0))</f>
        <v/>
      </c>
      <c r="AM1505" s="7" t="str">
        <f aca="true">IF(I1505="","",TODAY()-I1505)</f>
        <v/>
      </c>
      <c r="AN1505" s="7" t="str">
        <f aca="false">IF(A1505="","",IF(AND(E1505&lt;&gt;"33 確認済",E1505&lt;&gt;"36 送付中"),1,0))</f>
        <v/>
      </c>
      <c r="AO1505" s="7" t="str">
        <f aca="false">IF(A1505="","",IF(AG1505&lt;&gt;"",1,0))</f>
        <v/>
      </c>
    </row>
    <row r="1506" customFormat="false" ht="15" hidden="false" customHeight="false" outlineLevel="0" collapsed="false">
      <c r="AL1506" s="7" t="str">
        <f aca="false">IF(A1506="","",IF(COUNTIF(A1506:A$2001,A1506)=1,1,0))</f>
        <v/>
      </c>
      <c r="AM1506" s="7" t="str">
        <f aca="true">IF(I1506="","",TODAY()-I1506)</f>
        <v/>
      </c>
      <c r="AN1506" s="7" t="str">
        <f aca="false">IF(A1506="","",IF(AND(E1506&lt;&gt;"33 確認済",E1506&lt;&gt;"36 送付中"),1,0))</f>
        <v/>
      </c>
      <c r="AO1506" s="7" t="str">
        <f aca="false">IF(A1506="","",IF(AG1506&lt;&gt;"",1,0))</f>
        <v/>
      </c>
    </row>
    <row r="1507" customFormat="false" ht="15" hidden="false" customHeight="false" outlineLevel="0" collapsed="false">
      <c r="AL1507" s="7" t="str">
        <f aca="false">IF(A1507="","",IF(COUNTIF(A1507:A$2001,A1507)=1,1,0))</f>
        <v/>
      </c>
      <c r="AM1507" s="7" t="str">
        <f aca="true">IF(I1507="","",TODAY()-I1507)</f>
        <v/>
      </c>
      <c r="AN1507" s="7" t="str">
        <f aca="false">IF(A1507="","",IF(AND(E1507&lt;&gt;"33 確認済",E1507&lt;&gt;"36 送付中"),1,0))</f>
        <v/>
      </c>
      <c r="AO1507" s="7" t="str">
        <f aca="false">IF(A1507="","",IF(AG1507&lt;&gt;"",1,0))</f>
        <v/>
      </c>
    </row>
    <row r="1508" customFormat="false" ht="15" hidden="false" customHeight="false" outlineLevel="0" collapsed="false">
      <c r="AL1508" s="7" t="str">
        <f aca="false">IF(A1508="","",IF(COUNTIF(A1508:A$2001,A1508)=1,1,0))</f>
        <v/>
      </c>
      <c r="AM1508" s="7" t="str">
        <f aca="true">IF(I1508="","",TODAY()-I1508)</f>
        <v/>
      </c>
      <c r="AN1508" s="7" t="str">
        <f aca="false">IF(A1508="","",IF(AND(E1508&lt;&gt;"33 確認済",E1508&lt;&gt;"36 送付中"),1,0))</f>
        <v/>
      </c>
      <c r="AO1508" s="7" t="str">
        <f aca="false">IF(A1508="","",IF(AG1508&lt;&gt;"",1,0))</f>
        <v/>
      </c>
    </row>
    <row r="1509" customFormat="false" ht="15" hidden="false" customHeight="false" outlineLevel="0" collapsed="false">
      <c r="AL1509" s="7" t="str">
        <f aca="false">IF(A1509="","",IF(COUNTIF(A1509:A$2001,A1509)=1,1,0))</f>
        <v/>
      </c>
      <c r="AM1509" s="7" t="str">
        <f aca="true">IF(I1509="","",TODAY()-I1509)</f>
        <v/>
      </c>
      <c r="AN1509" s="7" t="str">
        <f aca="false">IF(A1509="","",IF(AND(E1509&lt;&gt;"33 確認済",E1509&lt;&gt;"36 送付中"),1,0))</f>
        <v/>
      </c>
      <c r="AO1509" s="7" t="str">
        <f aca="false">IF(A1509="","",IF(AG1509&lt;&gt;"",1,0))</f>
        <v/>
      </c>
    </row>
    <row r="1510" customFormat="false" ht="15" hidden="false" customHeight="false" outlineLevel="0" collapsed="false">
      <c r="AL1510" s="7" t="str">
        <f aca="false">IF(A1510="","",IF(COUNTIF(A1510:A$2001,A1510)=1,1,0))</f>
        <v/>
      </c>
      <c r="AM1510" s="7" t="str">
        <f aca="true">IF(I1510="","",TODAY()-I1510)</f>
        <v/>
      </c>
      <c r="AN1510" s="7" t="str">
        <f aca="false">IF(A1510="","",IF(AND(E1510&lt;&gt;"33 確認済",E1510&lt;&gt;"36 送付中"),1,0))</f>
        <v/>
      </c>
      <c r="AO1510" s="7" t="str">
        <f aca="false">IF(A1510="","",IF(AG1510&lt;&gt;"",1,0))</f>
        <v/>
      </c>
    </row>
    <row r="1511" customFormat="false" ht="15" hidden="false" customHeight="false" outlineLevel="0" collapsed="false">
      <c r="AL1511" s="7" t="str">
        <f aca="false">IF(A1511="","",IF(COUNTIF(A1511:A$2001,A1511)=1,1,0))</f>
        <v/>
      </c>
      <c r="AM1511" s="7" t="str">
        <f aca="true">IF(I1511="","",TODAY()-I1511)</f>
        <v/>
      </c>
      <c r="AN1511" s="7" t="str">
        <f aca="false">IF(A1511="","",IF(AND(E1511&lt;&gt;"33 確認済",E1511&lt;&gt;"36 送付中"),1,0))</f>
        <v/>
      </c>
      <c r="AO1511" s="7" t="str">
        <f aca="false">IF(A1511="","",IF(AG1511&lt;&gt;"",1,0))</f>
        <v/>
      </c>
    </row>
    <row r="1512" customFormat="false" ht="15" hidden="false" customHeight="false" outlineLevel="0" collapsed="false">
      <c r="AL1512" s="7" t="str">
        <f aca="false">IF(A1512="","",IF(COUNTIF(A1512:A$2001,A1512)=1,1,0))</f>
        <v/>
      </c>
      <c r="AM1512" s="7" t="str">
        <f aca="true">IF(I1512="","",TODAY()-I1512)</f>
        <v/>
      </c>
      <c r="AN1512" s="7" t="str">
        <f aca="false">IF(A1512="","",IF(AND(E1512&lt;&gt;"33 確認済",E1512&lt;&gt;"36 送付中"),1,0))</f>
        <v/>
      </c>
      <c r="AO1512" s="7" t="str">
        <f aca="false">IF(A1512="","",IF(AG1512&lt;&gt;"",1,0))</f>
        <v/>
      </c>
    </row>
    <row r="1513" customFormat="false" ht="15" hidden="false" customHeight="false" outlineLevel="0" collapsed="false">
      <c r="AL1513" s="7" t="str">
        <f aca="false">IF(A1513="","",IF(COUNTIF(A1513:A$2001,A1513)=1,1,0))</f>
        <v/>
      </c>
      <c r="AM1513" s="7" t="str">
        <f aca="true">IF(I1513="","",TODAY()-I1513)</f>
        <v/>
      </c>
      <c r="AN1513" s="7" t="str">
        <f aca="false">IF(A1513="","",IF(AND(E1513&lt;&gt;"33 確認済",E1513&lt;&gt;"36 送付中"),1,0))</f>
        <v/>
      </c>
      <c r="AO1513" s="7" t="str">
        <f aca="false">IF(A1513="","",IF(AG1513&lt;&gt;"",1,0))</f>
        <v/>
      </c>
    </row>
    <row r="1514" customFormat="false" ht="15" hidden="false" customHeight="false" outlineLevel="0" collapsed="false">
      <c r="AL1514" s="7" t="str">
        <f aca="false">IF(A1514="","",IF(COUNTIF(A1514:A$2001,A1514)=1,1,0))</f>
        <v/>
      </c>
      <c r="AM1514" s="7" t="str">
        <f aca="true">IF(I1514="","",TODAY()-I1514)</f>
        <v/>
      </c>
      <c r="AN1514" s="7" t="str">
        <f aca="false">IF(A1514="","",IF(AND(E1514&lt;&gt;"33 確認済",E1514&lt;&gt;"36 送付中"),1,0))</f>
        <v/>
      </c>
      <c r="AO1514" s="7" t="str">
        <f aca="false">IF(A1514="","",IF(AG1514&lt;&gt;"",1,0))</f>
        <v/>
      </c>
    </row>
    <row r="1515" customFormat="false" ht="15" hidden="false" customHeight="false" outlineLevel="0" collapsed="false">
      <c r="AL1515" s="7" t="str">
        <f aca="false">IF(A1515="","",IF(COUNTIF(A1515:A$2001,A1515)=1,1,0))</f>
        <v/>
      </c>
      <c r="AM1515" s="7" t="str">
        <f aca="true">IF(I1515="","",TODAY()-I1515)</f>
        <v/>
      </c>
      <c r="AN1515" s="7" t="str">
        <f aca="false">IF(A1515="","",IF(AND(E1515&lt;&gt;"33 確認済",E1515&lt;&gt;"36 送付中"),1,0))</f>
        <v/>
      </c>
      <c r="AO1515" s="7" t="str">
        <f aca="false">IF(A1515="","",IF(AG1515&lt;&gt;"",1,0))</f>
        <v/>
      </c>
    </row>
    <row r="1516" customFormat="false" ht="15" hidden="false" customHeight="false" outlineLevel="0" collapsed="false">
      <c r="AL1516" s="7" t="str">
        <f aca="false">IF(A1516="","",IF(COUNTIF(A1516:A$2001,A1516)=1,1,0))</f>
        <v/>
      </c>
      <c r="AM1516" s="7" t="str">
        <f aca="true">IF(I1516="","",TODAY()-I1516)</f>
        <v/>
      </c>
      <c r="AN1516" s="7" t="str">
        <f aca="false">IF(A1516="","",IF(AND(E1516&lt;&gt;"33 確認済",E1516&lt;&gt;"36 送付中"),1,0))</f>
        <v/>
      </c>
      <c r="AO1516" s="7" t="str">
        <f aca="false">IF(A1516="","",IF(AG1516&lt;&gt;"",1,0))</f>
        <v/>
      </c>
    </row>
    <row r="1517" customFormat="false" ht="15" hidden="false" customHeight="false" outlineLevel="0" collapsed="false">
      <c r="AL1517" s="7" t="str">
        <f aca="false">IF(A1517="","",IF(COUNTIF(A1517:A$2001,A1517)=1,1,0))</f>
        <v/>
      </c>
      <c r="AM1517" s="7" t="str">
        <f aca="true">IF(I1517="","",TODAY()-I1517)</f>
        <v/>
      </c>
      <c r="AN1517" s="7" t="str">
        <f aca="false">IF(A1517="","",IF(AND(E1517&lt;&gt;"33 確認済",E1517&lt;&gt;"36 送付中"),1,0))</f>
        <v/>
      </c>
      <c r="AO1517" s="7" t="str">
        <f aca="false">IF(A1517="","",IF(AG1517&lt;&gt;"",1,0))</f>
        <v/>
      </c>
    </row>
    <row r="1518" customFormat="false" ht="15" hidden="false" customHeight="false" outlineLevel="0" collapsed="false">
      <c r="AL1518" s="7" t="str">
        <f aca="false">IF(A1518="","",IF(COUNTIF(A1518:A$2001,A1518)=1,1,0))</f>
        <v/>
      </c>
      <c r="AM1518" s="7" t="str">
        <f aca="true">IF(I1518="","",TODAY()-I1518)</f>
        <v/>
      </c>
      <c r="AN1518" s="7" t="str">
        <f aca="false">IF(A1518="","",IF(AND(E1518&lt;&gt;"33 確認済",E1518&lt;&gt;"36 送付中"),1,0))</f>
        <v/>
      </c>
      <c r="AO1518" s="7" t="str">
        <f aca="false">IF(A1518="","",IF(AG1518&lt;&gt;"",1,0))</f>
        <v/>
      </c>
    </row>
    <row r="1519" customFormat="false" ht="15" hidden="false" customHeight="false" outlineLevel="0" collapsed="false">
      <c r="AL1519" s="7" t="str">
        <f aca="false">IF(A1519="","",IF(COUNTIF(A1519:A$2001,A1519)=1,1,0))</f>
        <v/>
      </c>
      <c r="AM1519" s="7" t="str">
        <f aca="true">IF(I1519="","",TODAY()-I1519)</f>
        <v/>
      </c>
      <c r="AN1519" s="7" t="str">
        <f aca="false">IF(A1519="","",IF(AND(E1519&lt;&gt;"33 確認済",E1519&lt;&gt;"36 送付中"),1,0))</f>
        <v/>
      </c>
      <c r="AO1519" s="7" t="str">
        <f aca="false">IF(A1519="","",IF(AG1519&lt;&gt;"",1,0))</f>
        <v/>
      </c>
    </row>
    <row r="1520" customFormat="false" ht="15" hidden="false" customHeight="false" outlineLevel="0" collapsed="false">
      <c r="AL1520" s="7" t="str">
        <f aca="false">IF(A1520="","",IF(COUNTIF(A1520:A$2001,A1520)=1,1,0))</f>
        <v/>
      </c>
      <c r="AM1520" s="7" t="str">
        <f aca="true">IF(I1520="","",TODAY()-I1520)</f>
        <v/>
      </c>
      <c r="AN1520" s="7" t="str">
        <f aca="false">IF(A1520="","",IF(AND(E1520&lt;&gt;"33 確認済",E1520&lt;&gt;"36 送付中"),1,0))</f>
        <v/>
      </c>
      <c r="AO1520" s="7" t="str">
        <f aca="false">IF(A1520="","",IF(AG1520&lt;&gt;"",1,0))</f>
        <v/>
      </c>
    </row>
    <row r="1521" customFormat="false" ht="15" hidden="false" customHeight="false" outlineLevel="0" collapsed="false">
      <c r="AL1521" s="7" t="str">
        <f aca="false">IF(A1521="","",IF(COUNTIF(A1521:A$2001,A1521)=1,1,0))</f>
        <v/>
      </c>
      <c r="AM1521" s="7" t="str">
        <f aca="true">IF(I1521="","",TODAY()-I1521)</f>
        <v/>
      </c>
      <c r="AN1521" s="7" t="str">
        <f aca="false">IF(A1521="","",IF(AND(E1521&lt;&gt;"33 確認済",E1521&lt;&gt;"36 送付中"),1,0))</f>
        <v/>
      </c>
      <c r="AO1521" s="7" t="str">
        <f aca="false">IF(A1521="","",IF(AG1521&lt;&gt;"",1,0))</f>
        <v/>
      </c>
    </row>
    <row r="1522" customFormat="false" ht="15" hidden="false" customHeight="false" outlineLevel="0" collapsed="false">
      <c r="AL1522" s="7" t="str">
        <f aca="false">IF(A1522="","",IF(COUNTIF(A1522:A$2001,A1522)=1,1,0))</f>
        <v/>
      </c>
      <c r="AM1522" s="7" t="str">
        <f aca="true">IF(I1522="","",TODAY()-I1522)</f>
        <v/>
      </c>
      <c r="AN1522" s="7" t="str">
        <f aca="false">IF(A1522="","",IF(AND(E1522&lt;&gt;"33 確認済",E1522&lt;&gt;"36 送付中"),1,0))</f>
        <v/>
      </c>
      <c r="AO1522" s="7" t="str">
        <f aca="false">IF(A1522="","",IF(AG1522&lt;&gt;"",1,0))</f>
        <v/>
      </c>
    </row>
    <row r="1523" customFormat="false" ht="15" hidden="false" customHeight="false" outlineLevel="0" collapsed="false">
      <c r="AL1523" s="7" t="str">
        <f aca="false">IF(A1523="","",IF(COUNTIF(A1523:A$2001,A1523)=1,1,0))</f>
        <v/>
      </c>
      <c r="AM1523" s="7" t="str">
        <f aca="true">IF(I1523="","",TODAY()-I1523)</f>
        <v/>
      </c>
      <c r="AN1523" s="7" t="str">
        <f aca="false">IF(A1523="","",IF(AND(E1523&lt;&gt;"33 確認済",E1523&lt;&gt;"36 送付中"),1,0))</f>
        <v/>
      </c>
      <c r="AO1523" s="7" t="str">
        <f aca="false">IF(A1523="","",IF(AG1523&lt;&gt;"",1,0))</f>
        <v/>
      </c>
    </row>
    <row r="1524" customFormat="false" ht="15" hidden="false" customHeight="false" outlineLevel="0" collapsed="false">
      <c r="AL1524" s="7" t="str">
        <f aca="false">IF(A1524="","",IF(COUNTIF(A1524:A$2001,A1524)=1,1,0))</f>
        <v/>
      </c>
      <c r="AM1524" s="7" t="str">
        <f aca="true">IF(I1524="","",TODAY()-I1524)</f>
        <v/>
      </c>
      <c r="AN1524" s="7" t="str">
        <f aca="false">IF(A1524="","",IF(AND(E1524&lt;&gt;"33 確認済",E1524&lt;&gt;"36 送付中"),1,0))</f>
        <v/>
      </c>
      <c r="AO1524" s="7" t="str">
        <f aca="false">IF(A1524="","",IF(AG1524&lt;&gt;"",1,0))</f>
        <v/>
      </c>
    </row>
    <row r="1525" customFormat="false" ht="15" hidden="false" customHeight="false" outlineLevel="0" collapsed="false">
      <c r="AL1525" s="7" t="str">
        <f aca="false">IF(A1525="","",IF(COUNTIF(A1525:A$2001,A1525)=1,1,0))</f>
        <v/>
      </c>
      <c r="AM1525" s="7" t="str">
        <f aca="true">IF(I1525="","",TODAY()-I1525)</f>
        <v/>
      </c>
      <c r="AN1525" s="7" t="str">
        <f aca="false">IF(A1525="","",IF(AND(E1525&lt;&gt;"33 確認済",E1525&lt;&gt;"36 送付中"),1,0))</f>
        <v/>
      </c>
      <c r="AO1525" s="7" t="str">
        <f aca="false">IF(A1525="","",IF(AG1525&lt;&gt;"",1,0))</f>
        <v/>
      </c>
    </row>
    <row r="1526" customFormat="false" ht="15" hidden="false" customHeight="false" outlineLevel="0" collapsed="false">
      <c r="AL1526" s="7" t="str">
        <f aca="false">IF(A1526="","",IF(COUNTIF(A1526:A$2001,A1526)=1,1,0))</f>
        <v/>
      </c>
      <c r="AM1526" s="7" t="str">
        <f aca="true">IF(I1526="","",TODAY()-I1526)</f>
        <v/>
      </c>
      <c r="AN1526" s="7" t="str">
        <f aca="false">IF(A1526="","",IF(AND(E1526&lt;&gt;"33 確認済",E1526&lt;&gt;"36 送付中"),1,0))</f>
        <v/>
      </c>
      <c r="AO1526" s="7" t="str">
        <f aca="false">IF(A1526="","",IF(AG1526&lt;&gt;"",1,0))</f>
        <v/>
      </c>
    </row>
    <row r="1527" customFormat="false" ht="15" hidden="false" customHeight="false" outlineLevel="0" collapsed="false">
      <c r="AL1527" s="7" t="str">
        <f aca="false">IF(A1527="","",IF(COUNTIF(A1527:A$2001,A1527)=1,1,0))</f>
        <v/>
      </c>
      <c r="AM1527" s="7" t="str">
        <f aca="true">IF(I1527="","",TODAY()-I1527)</f>
        <v/>
      </c>
      <c r="AN1527" s="7" t="str">
        <f aca="false">IF(A1527="","",IF(AND(E1527&lt;&gt;"33 確認済",E1527&lt;&gt;"36 送付中"),1,0))</f>
        <v/>
      </c>
      <c r="AO1527" s="7" t="str">
        <f aca="false">IF(A1527="","",IF(AG1527&lt;&gt;"",1,0))</f>
        <v/>
      </c>
    </row>
    <row r="1528" customFormat="false" ht="15" hidden="false" customHeight="false" outlineLevel="0" collapsed="false">
      <c r="AL1528" s="7" t="str">
        <f aca="false">IF(A1528="","",IF(COUNTIF(A1528:A$2001,A1528)=1,1,0))</f>
        <v/>
      </c>
      <c r="AM1528" s="7" t="str">
        <f aca="true">IF(I1528="","",TODAY()-I1528)</f>
        <v/>
      </c>
      <c r="AN1528" s="7" t="str">
        <f aca="false">IF(A1528="","",IF(AND(E1528&lt;&gt;"33 確認済",E1528&lt;&gt;"36 送付中"),1,0))</f>
        <v/>
      </c>
      <c r="AO1528" s="7" t="str">
        <f aca="false">IF(A1528="","",IF(AG1528&lt;&gt;"",1,0))</f>
        <v/>
      </c>
    </row>
    <row r="1529" customFormat="false" ht="15" hidden="false" customHeight="false" outlineLevel="0" collapsed="false">
      <c r="AL1529" s="7" t="str">
        <f aca="false">IF(A1529="","",IF(COUNTIF(A1529:A$2001,A1529)=1,1,0))</f>
        <v/>
      </c>
      <c r="AM1529" s="7" t="str">
        <f aca="true">IF(I1529="","",TODAY()-I1529)</f>
        <v/>
      </c>
      <c r="AN1529" s="7" t="str">
        <f aca="false">IF(A1529="","",IF(AND(E1529&lt;&gt;"33 確認済",E1529&lt;&gt;"36 送付中"),1,0))</f>
        <v/>
      </c>
      <c r="AO1529" s="7" t="str">
        <f aca="false">IF(A1529="","",IF(AG1529&lt;&gt;"",1,0))</f>
        <v/>
      </c>
    </row>
    <row r="1530" customFormat="false" ht="15" hidden="false" customHeight="false" outlineLevel="0" collapsed="false">
      <c r="AL1530" s="7" t="str">
        <f aca="false">IF(A1530="","",IF(COUNTIF(A1530:A$2001,A1530)=1,1,0))</f>
        <v/>
      </c>
      <c r="AM1530" s="7" t="str">
        <f aca="true">IF(I1530="","",TODAY()-I1530)</f>
        <v/>
      </c>
      <c r="AN1530" s="7" t="str">
        <f aca="false">IF(A1530="","",IF(AND(E1530&lt;&gt;"33 確認済",E1530&lt;&gt;"36 送付中"),1,0))</f>
        <v/>
      </c>
      <c r="AO1530" s="7" t="str">
        <f aca="false">IF(A1530="","",IF(AG1530&lt;&gt;"",1,0))</f>
        <v/>
      </c>
    </row>
    <row r="1531" customFormat="false" ht="15" hidden="false" customHeight="false" outlineLevel="0" collapsed="false">
      <c r="AL1531" s="7" t="str">
        <f aca="false">IF(A1531="","",IF(COUNTIF(A1531:A$2001,A1531)=1,1,0))</f>
        <v/>
      </c>
      <c r="AM1531" s="7" t="str">
        <f aca="true">IF(I1531="","",TODAY()-I1531)</f>
        <v/>
      </c>
      <c r="AN1531" s="7" t="str">
        <f aca="false">IF(A1531="","",IF(AND(E1531&lt;&gt;"33 確認済",E1531&lt;&gt;"36 送付中"),1,0))</f>
        <v/>
      </c>
      <c r="AO1531" s="7" t="str">
        <f aca="false">IF(A1531="","",IF(AG1531&lt;&gt;"",1,0))</f>
        <v/>
      </c>
    </row>
    <row r="1532" customFormat="false" ht="15" hidden="false" customHeight="false" outlineLevel="0" collapsed="false">
      <c r="AL1532" s="7" t="str">
        <f aca="false">IF(A1532="","",IF(COUNTIF(A1532:A$2001,A1532)=1,1,0))</f>
        <v/>
      </c>
      <c r="AM1532" s="7" t="str">
        <f aca="true">IF(I1532="","",TODAY()-I1532)</f>
        <v/>
      </c>
      <c r="AN1532" s="7" t="str">
        <f aca="false">IF(A1532="","",IF(AND(E1532&lt;&gt;"33 確認済",E1532&lt;&gt;"36 送付中"),1,0))</f>
        <v/>
      </c>
      <c r="AO1532" s="7" t="str">
        <f aca="false">IF(A1532="","",IF(AG1532&lt;&gt;"",1,0))</f>
        <v/>
      </c>
    </row>
    <row r="1533" customFormat="false" ht="15" hidden="false" customHeight="false" outlineLevel="0" collapsed="false">
      <c r="AL1533" s="7" t="str">
        <f aca="false">IF(A1533="","",IF(COUNTIF(A1533:A$2001,A1533)=1,1,0))</f>
        <v/>
      </c>
      <c r="AM1533" s="7" t="str">
        <f aca="true">IF(I1533="","",TODAY()-I1533)</f>
        <v/>
      </c>
      <c r="AN1533" s="7" t="str">
        <f aca="false">IF(A1533="","",IF(AND(E1533&lt;&gt;"33 確認済",E1533&lt;&gt;"36 送付中"),1,0))</f>
        <v/>
      </c>
      <c r="AO1533" s="7" t="str">
        <f aca="false">IF(A1533="","",IF(AG1533&lt;&gt;"",1,0))</f>
        <v/>
      </c>
    </row>
    <row r="1534" customFormat="false" ht="15" hidden="false" customHeight="false" outlineLevel="0" collapsed="false">
      <c r="AL1534" s="7" t="str">
        <f aca="false">IF(A1534="","",IF(COUNTIF(A1534:A$2001,A1534)=1,1,0))</f>
        <v/>
      </c>
      <c r="AM1534" s="7" t="str">
        <f aca="true">IF(I1534="","",TODAY()-I1534)</f>
        <v/>
      </c>
      <c r="AN1534" s="7" t="str">
        <f aca="false">IF(A1534="","",IF(AND(E1534&lt;&gt;"33 確認済",E1534&lt;&gt;"36 送付中"),1,0))</f>
        <v/>
      </c>
      <c r="AO1534" s="7" t="str">
        <f aca="false">IF(A1534="","",IF(AG1534&lt;&gt;"",1,0))</f>
        <v/>
      </c>
    </row>
    <row r="1535" customFormat="false" ht="15" hidden="false" customHeight="false" outlineLevel="0" collapsed="false">
      <c r="AL1535" s="7" t="str">
        <f aca="false">IF(A1535="","",IF(COUNTIF(A1535:A$2001,A1535)=1,1,0))</f>
        <v/>
      </c>
      <c r="AM1535" s="7" t="str">
        <f aca="true">IF(I1535="","",TODAY()-I1535)</f>
        <v/>
      </c>
      <c r="AN1535" s="7" t="str">
        <f aca="false">IF(A1535="","",IF(AND(E1535&lt;&gt;"33 確認済",E1535&lt;&gt;"36 送付中"),1,0))</f>
        <v/>
      </c>
      <c r="AO1535" s="7" t="str">
        <f aca="false">IF(A1535="","",IF(AG1535&lt;&gt;"",1,0))</f>
        <v/>
      </c>
    </row>
    <row r="1536" customFormat="false" ht="15" hidden="false" customHeight="false" outlineLevel="0" collapsed="false">
      <c r="AL1536" s="7" t="str">
        <f aca="false">IF(A1536="","",IF(COUNTIF(A1536:A$2001,A1536)=1,1,0))</f>
        <v/>
      </c>
      <c r="AM1536" s="7" t="str">
        <f aca="true">IF(I1536="","",TODAY()-I1536)</f>
        <v/>
      </c>
      <c r="AN1536" s="7" t="str">
        <f aca="false">IF(A1536="","",IF(AND(E1536&lt;&gt;"33 確認済",E1536&lt;&gt;"36 送付中"),1,0))</f>
        <v/>
      </c>
      <c r="AO1536" s="7" t="str">
        <f aca="false">IF(A1536="","",IF(AG1536&lt;&gt;"",1,0))</f>
        <v/>
      </c>
    </row>
    <row r="1537" customFormat="false" ht="15" hidden="false" customHeight="false" outlineLevel="0" collapsed="false">
      <c r="AL1537" s="7" t="str">
        <f aca="false">IF(A1537="","",IF(COUNTIF(A1537:A$2001,A1537)=1,1,0))</f>
        <v/>
      </c>
      <c r="AM1537" s="7" t="str">
        <f aca="true">IF(I1537="","",TODAY()-I1537)</f>
        <v/>
      </c>
      <c r="AN1537" s="7" t="str">
        <f aca="false">IF(A1537="","",IF(AND(E1537&lt;&gt;"33 確認済",E1537&lt;&gt;"36 送付中"),1,0))</f>
        <v/>
      </c>
      <c r="AO1537" s="7" t="str">
        <f aca="false">IF(A1537="","",IF(AG1537&lt;&gt;"",1,0))</f>
        <v/>
      </c>
    </row>
    <row r="1538" customFormat="false" ht="15" hidden="false" customHeight="false" outlineLevel="0" collapsed="false">
      <c r="AL1538" s="7" t="str">
        <f aca="false">IF(A1538="","",IF(COUNTIF(A1538:A$2001,A1538)=1,1,0))</f>
        <v/>
      </c>
      <c r="AM1538" s="7" t="str">
        <f aca="true">IF(I1538="","",TODAY()-I1538)</f>
        <v/>
      </c>
      <c r="AN1538" s="7" t="str">
        <f aca="false">IF(A1538="","",IF(AND(E1538&lt;&gt;"33 確認済",E1538&lt;&gt;"36 送付中"),1,0))</f>
        <v/>
      </c>
      <c r="AO1538" s="7" t="str">
        <f aca="false">IF(A1538="","",IF(AG1538&lt;&gt;"",1,0))</f>
        <v/>
      </c>
    </row>
    <row r="1539" customFormat="false" ht="15" hidden="false" customHeight="false" outlineLevel="0" collapsed="false">
      <c r="AL1539" s="7" t="str">
        <f aca="false">IF(A1539="","",IF(COUNTIF(A1539:A$2001,A1539)=1,1,0))</f>
        <v/>
      </c>
      <c r="AM1539" s="7" t="str">
        <f aca="true">IF(I1539="","",TODAY()-I1539)</f>
        <v/>
      </c>
      <c r="AN1539" s="7" t="str">
        <f aca="false">IF(A1539="","",IF(AND(E1539&lt;&gt;"33 確認済",E1539&lt;&gt;"36 送付中"),1,0))</f>
        <v/>
      </c>
      <c r="AO1539" s="7" t="str">
        <f aca="false">IF(A1539="","",IF(AG1539&lt;&gt;"",1,0))</f>
        <v/>
      </c>
    </row>
    <row r="1540" customFormat="false" ht="15" hidden="false" customHeight="false" outlineLevel="0" collapsed="false">
      <c r="AL1540" s="7" t="str">
        <f aca="false">IF(A1540="","",IF(COUNTIF(A1540:A$2001,A1540)=1,1,0))</f>
        <v/>
      </c>
      <c r="AM1540" s="7" t="str">
        <f aca="true">IF(I1540="","",TODAY()-I1540)</f>
        <v/>
      </c>
      <c r="AN1540" s="7" t="str">
        <f aca="false">IF(A1540="","",IF(AND(E1540&lt;&gt;"33 確認済",E1540&lt;&gt;"36 送付中"),1,0))</f>
        <v/>
      </c>
      <c r="AO1540" s="7" t="str">
        <f aca="false">IF(A1540="","",IF(AG1540&lt;&gt;"",1,0))</f>
        <v/>
      </c>
    </row>
    <row r="1541" customFormat="false" ht="15" hidden="false" customHeight="false" outlineLevel="0" collapsed="false">
      <c r="AL1541" s="7" t="str">
        <f aca="false">IF(A1541="","",IF(COUNTIF(A1541:A$2001,A1541)=1,1,0))</f>
        <v/>
      </c>
      <c r="AM1541" s="7" t="str">
        <f aca="true">IF(I1541="","",TODAY()-I1541)</f>
        <v/>
      </c>
      <c r="AN1541" s="7" t="str">
        <f aca="false">IF(A1541="","",IF(AND(E1541&lt;&gt;"33 確認済",E1541&lt;&gt;"36 送付中"),1,0))</f>
        <v/>
      </c>
      <c r="AO1541" s="7" t="str">
        <f aca="false">IF(A1541="","",IF(AG1541&lt;&gt;"",1,0))</f>
        <v/>
      </c>
    </row>
    <row r="1542" customFormat="false" ht="15" hidden="false" customHeight="false" outlineLevel="0" collapsed="false">
      <c r="AL1542" s="7" t="str">
        <f aca="false">IF(A1542="","",IF(COUNTIF(A1542:A$2001,A1542)=1,1,0))</f>
        <v/>
      </c>
      <c r="AM1542" s="7" t="str">
        <f aca="true">IF(I1542="","",TODAY()-I1542)</f>
        <v/>
      </c>
      <c r="AN1542" s="7" t="str">
        <f aca="false">IF(A1542="","",IF(AND(E1542&lt;&gt;"33 確認済",E1542&lt;&gt;"36 送付中"),1,0))</f>
        <v/>
      </c>
      <c r="AO1542" s="7" t="str">
        <f aca="false">IF(A1542="","",IF(AG1542&lt;&gt;"",1,0))</f>
        <v/>
      </c>
    </row>
    <row r="1543" customFormat="false" ht="15" hidden="false" customHeight="false" outlineLevel="0" collapsed="false">
      <c r="AL1543" s="7" t="str">
        <f aca="false">IF(A1543="","",IF(COUNTIF(A1543:A$2001,A1543)=1,1,0))</f>
        <v/>
      </c>
      <c r="AM1543" s="7" t="str">
        <f aca="true">IF(I1543="","",TODAY()-I1543)</f>
        <v/>
      </c>
      <c r="AN1543" s="7" t="str">
        <f aca="false">IF(A1543="","",IF(AND(E1543&lt;&gt;"33 確認済",E1543&lt;&gt;"36 送付中"),1,0))</f>
        <v/>
      </c>
      <c r="AO1543" s="7" t="str">
        <f aca="false">IF(A1543="","",IF(AG1543&lt;&gt;"",1,0))</f>
        <v/>
      </c>
    </row>
    <row r="1544" customFormat="false" ht="15" hidden="false" customHeight="false" outlineLevel="0" collapsed="false">
      <c r="AL1544" s="7" t="str">
        <f aca="false">IF(A1544="","",IF(COUNTIF(A1544:A$2001,A1544)=1,1,0))</f>
        <v/>
      </c>
      <c r="AM1544" s="7" t="str">
        <f aca="true">IF(I1544="","",TODAY()-I1544)</f>
        <v/>
      </c>
      <c r="AN1544" s="7" t="str">
        <f aca="false">IF(A1544="","",IF(AND(E1544&lt;&gt;"33 確認済",E1544&lt;&gt;"36 送付中"),1,0))</f>
        <v/>
      </c>
      <c r="AO1544" s="7" t="str">
        <f aca="false">IF(A1544="","",IF(AG1544&lt;&gt;"",1,0))</f>
        <v/>
      </c>
    </row>
    <row r="1545" customFormat="false" ht="15" hidden="false" customHeight="false" outlineLevel="0" collapsed="false">
      <c r="AL1545" s="7" t="str">
        <f aca="false">IF(A1545="","",IF(COUNTIF(A1545:A$2001,A1545)=1,1,0))</f>
        <v/>
      </c>
      <c r="AM1545" s="7" t="str">
        <f aca="true">IF(I1545="","",TODAY()-I1545)</f>
        <v/>
      </c>
      <c r="AN1545" s="7" t="str">
        <f aca="false">IF(A1545="","",IF(AND(E1545&lt;&gt;"33 確認済",E1545&lt;&gt;"36 送付中"),1,0))</f>
        <v/>
      </c>
      <c r="AO1545" s="7" t="str">
        <f aca="false">IF(A1545="","",IF(AG1545&lt;&gt;"",1,0))</f>
        <v/>
      </c>
    </row>
    <row r="1546" customFormat="false" ht="15" hidden="false" customHeight="false" outlineLevel="0" collapsed="false">
      <c r="AL1546" s="7" t="str">
        <f aca="false">IF(A1546="","",IF(COUNTIF(A1546:A$2001,A1546)=1,1,0))</f>
        <v/>
      </c>
      <c r="AM1546" s="7" t="str">
        <f aca="true">IF(I1546="","",TODAY()-I1546)</f>
        <v/>
      </c>
      <c r="AN1546" s="7" t="str">
        <f aca="false">IF(A1546="","",IF(AND(E1546&lt;&gt;"33 確認済",E1546&lt;&gt;"36 送付中"),1,0))</f>
        <v/>
      </c>
      <c r="AO1546" s="7" t="str">
        <f aca="false">IF(A1546="","",IF(AG1546&lt;&gt;"",1,0))</f>
        <v/>
      </c>
    </row>
    <row r="1547" customFormat="false" ht="15" hidden="false" customHeight="false" outlineLevel="0" collapsed="false">
      <c r="AL1547" s="7" t="str">
        <f aca="false">IF(A1547="","",IF(COUNTIF(A1547:A$2001,A1547)=1,1,0))</f>
        <v/>
      </c>
      <c r="AM1547" s="7" t="str">
        <f aca="true">IF(I1547="","",TODAY()-I1547)</f>
        <v/>
      </c>
      <c r="AN1547" s="7" t="str">
        <f aca="false">IF(A1547="","",IF(AND(E1547&lt;&gt;"33 確認済",E1547&lt;&gt;"36 送付中"),1,0))</f>
        <v/>
      </c>
      <c r="AO1547" s="7" t="str">
        <f aca="false">IF(A1547="","",IF(AG1547&lt;&gt;"",1,0))</f>
        <v/>
      </c>
    </row>
    <row r="1548" customFormat="false" ht="15" hidden="false" customHeight="false" outlineLevel="0" collapsed="false">
      <c r="AL1548" s="7" t="str">
        <f aca="false">IF(A1548="","",IF(COUNTIF(A1548:A$2001,A1548)=1,1,0))</f>
        <v/>
      </c>
      <c r="AM1548" s="7" t="str">
        <f aca="true">IF(I1548="","",TODAY()-I1548)</f>
        <v/>
      </c>
      <c r="AN1548" s="7" t="str">
        <f aca="false">IF(A1548="","",IF(AND(E1548&lt;&gt;"33 確認済",E1548&lt;&gt;"36 送付中"),1,0))</f>
        <v/>
      </c>
      <c r="AO1548" s="7" t="str">
        <f aca="false">IF(A1548="","",IF(AG1548&lt;&gt;"",1,0))</f>
        <v/>
      </c>
    </row>
    <row r="1549" customFormat="false" ht="15" hidden="false" customHeight="false" outlineLevel="0" collapsed="false">
      <c r="AL1549" s="7" t="str">
        <f aca="false">IF(A1549="","",IF(COUNTIF(A1549:A$2001,A1549)=1,1,0))</f>
        <v/>
      </c>
      <c r="AM1549" s="7" t="str">
        <f aca="true">IF(I1549="","",TODAY()-I1549)</f>
        <v/>
      </c>
      <c r="AN1549" s="7" t="str">
        <f aca="false">IF(A1549="","",IF(AND(E1549&lt;&gt;"33 確認済",E1549&lt;&gt;"36 送付中"),1,0))</f>
        <v/>
      </c>
      <c r="AO1549" s="7" t="str">
        <f aca="false">IF(A1549="","",IF(AG1549&lt;&gt;"",1,0))</f>
        <v/>
      </c>
    </row>
    <row r="1550" customFormat="false" ht="15" hidden="false" customHeight="false" outlineLevel="0" collapsed="false">
      <c r="AL1550" s="7" t="str">
        <f aca="false">IF(A1550="","",IF(COUNTIF(A1550:A$2001,A1550)=1,1,0))</f>
        <v/>
      </c>
      <c r="AM1550" s="7" t="str">
        <f aca="true">IF(I1550="","",TODAY()-I1550)</f>
        <v/>
      </c>
      <c r="AN1550" s="7" t="str">
        <f aca="false">IF(A1550="","",IF(AND(E1550&lt;&gt;"33 確認済",E1550&lt;&gt;"36 送付中"),1,0))</f>
        <v/>
      </c>
      <c r="AO1550" s="7" t="str">
        <f aca="false">IF(A1550="","",IF(AG1550&lt;&gt;"",1,0))</f>
        <v/>
      </c>
    </row>
    <row r="1551" customFormat="false" ht="15" hidden="false" customHeight="false" outlineLevel="0" collapsed="false">
      <c r="AL1551" s="7" t="str">
        <f aca="false">IF(A1551="","",IF(COUNTIF(A1551:A$2001,A1551)=1,1,0))</f>
        <v/>
      </c>
      <c r="AM1551" s="7" t="str">
        <f aca="true">IF(I1551="","",TODAY()-I1551)</f>
        <v/>
      </c>
      <c r="AN1551" s="7" t="str">
        <f aca="false">IF(A1551="","",IF(AND(E1551&lt;&gt;"33 確認済",E1551&lt;&gt;"36 送付中"),1,0))</f>
        <v/>
      </c>
      <c r="AO1551" s="7" t="str">
        <f aca="false">IF(A1551="","",IF(AG1551&lt;&gt;"",1,0))</f>
        <v/>
      </c>
    </row>
    <row r="1552" customFormat="false" ht="15" hidden="false" customHeight="false" outlineLevel="0" collapsed="false">
      <c r="AL1552" s="7" t="str">
        <f aca="false">IF(A1552="","",IF(COUNTIF(A1552:A$2001,A1552)=1,1,0))</f>
        <v/>
      </c>
      <c r="AM1552" s="7" t="str">
        <f aca="true">IF(I1552="","",TODAY()-I1552)</f>
        <v/>
      </c>
      <c r="AN1552" s="7" t="str">
        <f aca="false">IF(A1552="","",IF(AND(E1552&lt;&gt;"33 確認済",E1552&lt;&gt;"36 送付中"),1,0))</f>
        <v/>
      </c>
      <c r="AO1552" s="7" t="str">
        <f aca="false">IF(A1552="","",IF(AG1552&lt;&gt;"",1,0))</f>
        <v/>
      </c>
    </row>
    <row r="1553" customFormat="false" ht="15" hidden="false" customHeight="false" outlineLevel="0" collapsed="false">
      <c r="AL1553" s="7" t="str">
        <f aca="false">IF(A1553="","",IF(COUNTIF(A1553:A$2001,A1553)=1,1,0))</f>
        <v/>
      </c>
      <c r="AM1553" s="7" t="str">
        <f aca="true">IF(I1553="","",TODAY()-I1553)</f>
        <v/>
      </c>
      <c r="AN1553" s="7" t="str">
        <f aca="false">IF(A1553="","",IF(AND(E1553&lt;&gt;"33 確認済",E1553&lt;&gt;"36 送付中"),1,0))</f>
        <v/>
      </c>
      <c r="AO1553" s="7" t="str">
        <f aca="false">IF(A1553="","",IF(AG1553&lt;&gt;"",1,0))</f>
        <v/>
      </c>
    </row>
    <row r="1554" customFormat="false" ht="15" hidden="false" customHeight="false" outlineLevel="0" collapsed="false">
      <c r="AL1554" s="7" t="str">
        <f aca="false">IF(A1554="","",IF(COUNTIF(A1554:A$2001,A1554)=1,1,0))</f>
        <v/>
      </c>
      <c r="AM1554" s="7" t="str">
        <f aca="true">IF(I1554="","",TODAY()-I1554)</f>
        <v/>
      </c>
      <c r="AN1554" s="7" t="str">
        <f aca="false">IF(A1554="","",IF(AND(E1554&lt;&gt;"33 確認済",E1554&lt;&gt;"36 送付中"),1,0))</f>
        <v/>
      </c>
      <c r="AO1554" s="7" t="str">
        <f aca="false">IF(A1554="","",IF(AG1554&lt;&gt;"",1,0))</f>
        <v/>
      </c>
    </row>
    <row r="1555" customFormat="false" ht="15" hidden="false" customHeight="false" outlineLevel="0" collapsed="false">
      <c r="AL1555" s="7" t="str">
        <f aca="false">IF(A1555="","",IF(COUNTIF(A1555:A$2001,A1555)=1,1,0))</f>
        <v/>
      </c>
      <c r="AM1555" s="7" t="str">
        <f aca="true">IF(I1555="","",TODAY()-I1555)</f>
        <v/>
      </c>
      <c r="AN1555" s="7" t="str">
        <f aca="false">IF(A1555="","",IF(AND(E1555&lt;&gt;"33 確認済",E1555&lt;&gt;"36 送付中"),1,0))</f>
        <v/>
      </c>
      <c r="AO1555" s="7" t="str">
        <f aca="false">IF(A1555="","",IF(AG1555&lt;&gt;"",1,0))</f>
        <v/>
      </c>
    </row>
    <row r="1556" customFormat="false" ht="15" hidden="false" customHeight="false" outlineLevel="0" collapsed="false">
      <c r="AL1556" s="7" t="str">
        <f aca="false">IF(A1556="","",IF(COUNTIF(A1556:A$2001,A1556)=1,1,0))</f>
        <v/>
      </c>
      <c r="AM1556" s="7" t="str">
        <f aca="true">IF(I1556="","",TODAY()-I1556)</f>
        <v/>
      </c>
      <c r="AN1556" s="7" t="str">
        <f aca="false">IF(A1556="","",IF(AND(E1556&lt;&gt;"33 確認済",E1556&lt;&gt;"36 送付中"),1,0))</f>
        <v/>
      </c>
      <c r="AO1556" s="7" t="str">
        <f aca="false">IF(A1556="","",IF(AG1556&lt;&gt;"",1,0))</f>
        <v/>
      </c>
    </row>
    <row r="1557" customFormat="false" ht="15" hidden="false" customHeight="false" outlineLevel="0" collapsed="false">
      <c r="AL1557" s="7" t="str">
        <f aca="false">IF(A1557="","",IF(COUNTIF(A1557:A$2001,A1557)=1,1,0))</f>
        <v/>
      </c>
      <c r="AM1557" s="7" t="str">
        <f aca="true">IF(I1557="","",TODAY()-I1557)</f>
        <v/>
      </c>
      <c r="AN1557" s="7" t="str">
        <f aca="false">IF(A1557="","",IF(AND(E1557&lt;&gt;"33 確認済",E1557&lt;&gt;"36 送付中"),1,0))</f>
        <v/>
      </c>
      <c r="AO1557" s="7" t="str">
        <f aca="false">IF(A1557="","",IF(AG1557&lt;&gt;"",1,0))</f>
        <v/>
      </c>
    </row>
    <row r="1558" customFormat="false" ht="15" hidden="false" customHeight="false" outlineLevel="0" collapsed="false">
      <c r="AL1558" s="7" t="str">
        <f aca="false">IF(A1558="","",IF(COUNTIF(A1558:A$2001,A1558)=1,1,0))</f>
        <v/>
      </c>
      <c r="AM1558" s="7" t="str">
        <f aca="true">IF(I1558="","",TODAY()-I1558)</f>
        <v/>
      </c>
      <c r="AN1558" s="7" t="str">
        <f aca="false">IF(A1558="","",IF(AND(E1558&lt;&gt;"33 確認済",E1558&lt;&gt;"36 送付中"),1,0))</f>
        <v/>
      </c>
      <c r="AO1558" s="7" t="str">
        <f aca="false">IF(A1558="","",IF(AG1558&lt;&gt;"",1,0))</f>
        <v/>
      </c>
    </row>
    <row r="1559" customFormat="false" ht="15" hidden="false" customHeight="false" outlineLevel="0" collapsed="false">
      <c r="AL1559" s="7" t="str">
        <f aca="false">IF(A1559="","",IF(COUNTIF(A1559:A$2001,A1559)=1,1,0))</f>
        <v/>
      </c>
      <c r="AM1559" s="7" t="str">
        <f aca="true">IF(I1559="","",TODAY()-I1559)</f>
        <v/>
      </c>
      <c r="AN1559" s="7" t="str">
        <f aca="false">IF(A1559="","",IF(AND(E1559&lt;&gt;"33 確認済",E1559&lt;&gt;"36 送付中"),1,0))</f>
        <v/>
      </c>
      <c r="AO1559" s="7" t="str">
        <f aca="false">IF(A1559="","",IF(AG1559&lt;&gt;"",1,0))</f>
        <v/>
      </c>
    </row>
    <row r="1560" customFormat="false" ht="15" hidden="false" customHeight="false" outlineLevel="0" collapsed="false">
      <c r="AL1560" s="7" t="str">
        <f aca="false">IF(A1560="","",IF(COUNTIF(A1560:A$2001,A1560)=1,1,0))</f>
        <v/>
      </c>
      <c r="AM1560" s="7" t="str">
        <f aca="true">IF(I1560="","",TODAY()-I1560)</f>
        <v/>
      </c>
      <c r="AN1560" s="7" t="str">
        <f aca="false">IF(A1560="","",IF(AND(E1560&lt;&gt;"33 確認済",E1560&lt;&gt;"36 送付中"),1,0))</f>
        <v/>
      </c>
      <c r="AO1560" s="7" t="str">
        <f aca="false">IF(A1560="","",IF(AG1560&lt;&gt;"",1,0))</f>
        <v/>
      </c>
    </row>
    <row r="1561" customFormat="false" ht="15" hidden="false" customHeight="false" outlineLevel="0" collapsed="false">
      <c r="AL1561" s="7" t="str">
        <f aca="false">IF(A1561="","",IF(COUNTIF(A1561:A$2001,A1561)=1,1,0))</f>
        <v/>
      </c>
      <c r="AM1561" s="7" t="str">
        <f aca="true">IF(I1561="","",TODAY()-I1561)</f>
        <v/>
      </c>
      <c r="AN1561" s="7" t="str">
        <f aca="false">IF(A1561="","",IF(AND(E1561&lt;&gt;"33 確認済",E1561&lt;&gt;"36 送付中"),1,0))</f>
        <v/>
      </c>
      <c r="AO1561" s="7" t="str">
        <f aca="false">IF(A1561="","",IF(AG1561&lt;&gt;"",1,0))</f>
        <v/>
      </c>
    </row>
    <row r="1562" customFormat="false" ht="15" hidden="false" customHeight="false" outlineLevel="0" collapsed="false">
      <c r="AL1562" s="7" t="str">
        <f aca="false">IF(A1562="","",IF(COUNTIF(A1562:A$2001,A1562)=1,1,0))</f>
        <v/>
      </c>
      <c r="AM1562" s="7" t="str">
        <f aca="true">IF(I1562="","",TODAY()-I1562)</f>
        <v/>
      </c>
      <c r="AN1562" s="7" t="str">
        <f aca="false">IF(A1562="","",IF(AND(E1562&lt;&gt;"33 確認済",E1562&lt;&gt;"36 送付中"),1,0))</f>
        <v/>
      </c>
      <c r="AO1562" s="7" t="str">
        <f aca="false">IF(A1562="","",IF(AG1562&lt;&gt;"",1,0))</f>
        <v/>
      </c>
    </row>
    <row r="1563" customFormat="false" ht="15" hidden="false" customHeight="false" outlineLevel="0" collapsed="false">
      <c r="AL1563" s="7" t="str">
        <f aca="false">IF(A1563="","",IF(COUNTIF(A1563:A$2001,A1563)=1,1,0))</f>
        <v/>
      </c>
      <c r="AM1563" s="7" t="str">
        <f aca="true">IF(I1563="","",TODAY()-I1563)</f>
        <v/>
      </c>
      <c r="AN1563" s="7" t="str">
        <f aca="false">IF(A1563="","",IF(AND(E1563&lt;&gt;"33 確認済",E1563&lt;&gt;"36 送付中"),1,0))</f>
        <v/>
      </c>
      <c r="AO1563" s="7" t="str">
        <f aca="false">IF(A1563="","",IF(AG1563&lt;&gt;"",1,0))</f>
        <v/>
      </c>
    </row>
    <row r="1564" customFormat="false" ht="15" hidden="false" customHeight="false" outlineLevel="0" collapsed="false">
      <c r="AL1564" s="7" t="str">
        <f aca="false">IF(A1564="","",IF(COUNTIF(A1564:A$2001,A1564)=1,1,0))</f>
        <v/>
      </c>
      <c r="AM1564" s="7" t="str">
        <f aca="true">IF(I1564="","",TODAY()-I1564)</f>
        <v/>
      </c>
      <c r="AN1564" s="7" t="str">
        <f aca="false">IF(A1564="","",IF(AND(E1564&lt;&gt;"33 確認済",E1564&lt;&gt;"36 送付中"),1,0))</f>
        <v/>
      </c>
      <c r="AO1564" s="7" t="str">
        <f aca="false">IF(A1564="","",IF(AG1564&lt;&gt;"",1,0))</f>
        <v/>
      </c>
    </row>
    <row r="1565" customFormat="false" ht="15" hidden="false" customHeight="false" outlineLevel="0" collapsed="false">
      <c r="AL1565" s="7" t="str">
        <f aca="false">IF(A1565="","",IF(COUNTIF(A1565:A$2001,A1565)=1,1,0))</f>
        <v/>
      </c>
      <c r="AM1565" s="7" t="str">
        <f aca="true">IF(I1565="","",TODAY()-I1565)</f>
        <v/>
      </c>
      <c r="AN1565" s="7" t="str">
        <f aca="false">IF(A1565="","",IF(AND(E1565&lt;&gt;"33 確認済",E1565&lt;&gt;"36 送付中"),1,0))</f>
        <v/>
      </c>
      <c r="AO1565" s="7" t="str">
        <f aca="false">IF(A1565="","",IF(AG1565&lt;&gt;"",1,0))</f>
        <v/>
      </c>
    </row>
    <row r="1566" customFormat="false" ht="15" hidden="false" customHeight="false" outlineLevel="0" collapsed="false">
      <c r="AL1566" s="7" t="str">
        <f aca="false">IF(A1566="","",IF(COUNTIF(A1566:A$2001,A1566)=1,1,0))</f>
        <v/>
      </c>
      <c r="AM1566" s="7" t="str">
        <f aca="true">IF(I1566="","",TODAY()-I1566)</f>
        <v/>
      </c>
      <c r="AN1566" s="7" t="str">
        <f aca="false">IF(A1566="","",IF(AND(E1566&lt;&gt;"33 確認済",E1566&lt;&gt;"36 送付中"),1,0))</f>
        <v/>
      </c>
      <c r="AO1566" s="7" t="str">
        <f aca="false">IF(A1566="","",IF(AG1566&lt;&gt;"",1,0))</f>
        <v/>
      </c>
    </row>
    <row r="1567" customFormat="false" ht="15" hidden="false" customHeight="false" outlineLevel="0" collapsed="false">
      <c r="AL1567" s="7" t="str">
        <f aca="false">IF(A1567="","",IF(COUNTIF(A1567:A$2001,A1567)=1,1,0))</f>
        <v/>
      </c>
      <c r="AM1567" s="7" t="str">
        <f aca="true">IF(I1567="","",TODAY()-I1567)</f>
        <v/>
      </c>
      <c r="AN1567" s="7" t="str">
        <f aca="false">IF(A1567="","",IF(AND(E1567&lt;&gt;"33 確認済",E1567&lt;&gt;"36 送付中"),1,0))</f>
        <v/>
      </c>
      <c r="AO1567" s="7" t="str">
        <f aca="false">IF(A1567="","",IF(AG1567&lt;&gt;"",1,0))</f>
        <v/>
      </c>
    </row>
    <row r="1568" customFormat="false" ht="15" hidden="false" customHeight="false" outlineLevel="0" collapsed="false">
      <c r="AL1568" s="7" t="str">
        <f aca="false">IF(A1568="","",IF(COUNTIF(A1568:A$2001,A1568)=1,1,0))</f>
        <v/>
      </c>
      <c r="AM1568" s="7" t="str">
        <f aca="true">IF(I1568="","",TODAY()-I1568)</f>
        <v/>
      </c>
      <c r="AN1568" s="7" t="str">
        <f aca="false">IF(A1568="","",IF(AND(E1568&lt;&gt;"33 確認済",E1568&lt;&gt;"36 送付中"),1,0))</f>
        <v/>
      </c>
      <c r="AO1568" s="7" t="str">
        <f aca="false">IF(A1568="","",IF(AG1568&lt;&gt;"",1,0))</f>
        <v/>
      </c>
    </row>
    <row r="1569" customFormat="false" ht="15" hidden="false" customHeight="false" outlineLevel="0" collapsed="false">
      <c r="AL1569" s="7" t="str">
        <f aca="false">IF(A1569="","",IF(COUNTIF(A1569:A$2001,A1569)=1,1,0))</f>
        <v/>
      </c>
      <c r="AM1569" s="7" t="str">
        <f aca="true">IF(I1569="","",TODAY()-I1569)</f>
        <v/>
      </c>
      <c r="AN1569" s="7" t="str">
        <f aca="false">IF(A1569="","",IF(AND(E1569&lt;&gt;"33 確認済",E1569&lt;&gt;"36 送付中"),1,0))</f>
        <v/>
      </c>
      <c r="AO1569" s="7" t="str">
        <f aca="false">IF(A1569="","",IF(AG1569&lt;&gt;"",1,0))</f>
        <v/>
      </c>
    </row>
    <row r="1570" customFormat="false" ht="15" hidden="false" customHeight="false" outlineLevel="0" collapsed="false">
      <c r="AL1570" s="7" t="str">
        <f aca="false">IF(A1570="","",IF(COUNTIF(A1570:A$2001,A1570)=1,1,0))</f>
        <v/>
      </c>
      <c r="AM1570" s="7" t="str">
        <f aca="true">IF(I1570="","",TODAY()-I1570)</f>
        <v/>
      </c>
      <c r="AN1570" s="7" t="str">
        <f aca="false">IF(A1570="","",IF(AND(E1570&lt;&gt;"33 確認済",E1570&lt;&gt;"36 送付中"),1,0))</f>
        <v/>
      </c>
      <c r="AO1570" s="7" t="str">
        <f aca="false">IF(A1570="","",IF(AG1570&lt;&gt;"",1,0))</f>
        <v/>
      </c>
    </row>
    <row r="1571" customFormat="false" ht="15" hidden="false" customHeight="false" outlineLevel="0" collapsed="false">
      <c r="AL1571" s="7" t="str">
        <f aca="false">IF(A1571="","",IF(COUNTIF(A1571:A$2001,A1571)=1,1,0))</f>
        <v/>
      </c>
      <c r="AM1571" s="7" t="str">
        <f aca="true">IF(I1571="","",TODAY()-I1571)</f>
        <v/>
      </c>
      <c r="AN1571" s="7" t="str">
        <f aca="false">IF(A1571="","",IF(AND(E1571&lt;&gt;"33 確認済",E1571&lt;&gt;"36 送付中"),1,0))</f>
        <v/>
      </c>
      <c r="AO1571" s="7" t="str">
        <f aca="false">IF(A1571="","",IF(AG1571&lt;&gt;"",1,0))</f>
        <v/>
      </c>
    </row>
    <row r="1572" customFormat="false" ht="15" hidden="false" customHeight="false" outlineLevel="0" collapsed="false">
      <c r="AL1572" s="7" t="str">
        <f aca="false">IF(A1572="","",IF(COUNTIF(A1572:A$2001,A1572)=1,1,0))</f>
        <v/>
      </c>
      <c r="AM1572" s="7" t="str">
        <f aca="true">IF(I1572="","",TODAY()-I1572)</f>
        <v/>
      </c>
      <c r="AN1572" s="7" t="str">
        <f aca="false">IF(A1572="","",IF(AND(E1572&lt;&gt;"33 確認済",E1572&lt;&gt;"36 送付中"),1,0))</f>
        <v/>
      </c>
      <c r="AO1572" s="7" t="str">
        <f aca="false">IF(A1572="","",IF(AG1572&lt;&gt;"",1,0))</f>
        <v/>
      </c>
    </row>
    <row r="1573" customFormat="false" ht="15" hidden="false" customHeight="false" outlineLevel="0" collapsed="false">
      <c r="AL1573" s="7" t="str">
        <f aca="false">IF(A1573="","",IF(COUNTIF(A1573:A$2001,A1573)=1,1,0))</f>
        <v/>
      </c>
      <c r="AM1573" s="7" t="str">
        <f aca="true">IF(I1573="","",TODAY()-I1573)</f>
        <v/>
      </c>
      <c r="AN1573" s="7" t="str">
        <f aca="false">IF(A1573="","",IF(AND(E1573&lt;&gt;"33 確認済",E1573&lt;&gt;"36 送付中"),1,0))</f>
        <v/>
      </c>
      <c r="AO1573" s="7" t="str">
        <f aca="false">IF(A1573="","",IF(AG1573&lt;&gt;"",1,0))</f>
        <v/>
      </c>
    </row>
    <row r="1574" customFormat="false" ht="15" hidden="false" customHeight="false" outlineLevel="0" collapsed="false">
      <c r="AL1574" s="7" t="str">
        <f aca="false">IF(A1574="","",IF(COUNTIF(A1574:A$2001,A1574)=1,1,0))</f>
        <v/>
      </c>
      <c r="AM1574" s="7" t="str">
        <f aca="true">IF(I1574="","",TODAY()-I1574)</f>
        <v/>
      </c>
      <c r="AN1574" s="7" t="str">
        <f aca="false">IF(A1574="","",IF(AND(E1574&lt;&gt;"33 確認済",E1574&lt;&gt;"36 送付中"),1,0))</f>
        <v/>
      </c>
      <c r="AO1574" s="7" t="str">
        <f aca="false">IF(A1574="","",IF(AG1574&lt;&gt;"",1,0))</f>
        <v/>
      </c>
    </row>
    <row r="1575" customFormat="false" ht="15" hidden="false" customHeight="false" outlineLevel="0" collapsed="false">
      <c r="AL1575" s="7" t="str">
        <f aca="false">IF(A1575="","",IF(COUNTIF(A1575:A$2001,A1575)=1,1,0))</f>
        <v/>
      </c>
      <c r="AM1575" s="7" t="str">
        <f aca="true">IF(I1575="","",TODAY()-I1575)</f>
        <v/>
      </c>
      <c r="AN1575" s="7" t="str">
        <f aca="false">IF(A1575="","",IF(AND(E1575&lt;&gt;"33 確認済",E1575&lt;&gt;"36 送付中"),1,0))</f>
        <v/>
      </c>
      <c r="AO1575" s="7" t="str">
        <f aca="false">IF(A1575="","",IF(AG1575&lt;&gt;"",1,0))</f>
        <v/>
      </c>
    </row>
    <row r="1576" customFormat="false" ht="15" hidden="false" customHeight="false" outlineLevel="0" collapsed="false">
      <c r="AL1576" s="7" t="str">
        <f aca="false">IF(A1576="","",IF(COUNTIF(A1576:A$2001,A1576)=1,1,0))</f>
        <v/>
      </c>
      <c r="AM1576" s="7" t="str">
        <f aca="true">IF(I1576="","",TODAY()-I1576)</f>
        <v/>
      </c>
      <c r="AN1576" s="7" t="str">
        <f aca="false">IF(A1576="","",IF(AND(E1576&lt;&gt;"33 確認済",E1576&lt;&gt;"36 送付中"),1,0))</f>
        <v/>
      </c>
      <c r="AO1576" s="7" t="str">
        <f aca="false">IF(A1576="","",IF(AG1576&lt;&gt;"",1,0))</f>
        <v/>
      </c>
    </row>
    <row r="1577" customFormat="false" ht="15" hidden="false" customHeight="false" outlineLevel="0" collapsed="false">
      <c r="AL1577" s="7" t="str">
        <f aca="false">IF(A1577="","",IF(COUNTIF(A1577:A$2001,A1577)=1,1,0))</f>
        <v/>
      </c>
      <c r="AM1577" s="7" t="str">
        <f aca="true">IF(I1577="","",TODAY()-I1577)</f>
        <v/>
      </c>
      <c r="AN1577" s="7" t="str">
        <f aca="false">IF(A1577="","",IF(AND(E1577&lt;&gt;"33 確認済",E1577&lt;&gt;"36 送付中"),1,0))</f>
        <v/>
      </c>
      <c r="AO1577" s="7" t="str">
        <f aca="false">IF(A1577="","",IF(AG1577&lt;&gt;"",1,0))</f>
        <v/>
      </c>
    </row>
    <row r="1578" customFormat="false" ht="15" hidden="false" customHeight="false" outlineLevel="0" collapsed="false">
      <c r="AL1578" s="7" t="str">
        <f aca="false">IF(A1578="","",IF(COUNTIF(A1578:A$2001,A1578)=1,1,0))</f>
        <v/>
      </c>
      <c r="AM1578" s="7" t="str">
        <f aca="true">IF(I1578="","",TODAY()-I1578)</f>
        <v/>
      </c>
      <c r="AN1578" s="7" t="str">
        <f aca="false">IF(A1578="","",IF(AND(E1578&lt;&gt;"33 確認済",E1578&lt;&gt;"36 送付中"),1,0))</f>
        <v/>
      </c>
      <c r="AO1578" s="7" t="str">
        <f aca="false">IF(A1578="","",IF(AG1578&lt;&gt;"",1,0))</f>
        <v/>
      </c>
    </row>
    <row r="1579" customFormat="false" ht="15" hidden="false" customHeight="false" outlineLevel="0" collapsed="false">
      <c r="AL1579" s="7" t="str">
        <f aca="false">IF(A1579="","",IF(COUNTIF(A1579:A$2001,A1579)=1,1,0))</f>
        <v/>
      </c>
      <c r="AM1579" s="7" t="str">
        <f aca="true">IF(I1579="","",TODAY()-I1579)</f>
        <v/>
      </c>
      <c r="AN1579" s="7" t="str">
        <f aca="false">IF(A1579="","",IF(AND(E1579&lt;&gt;"33 確認済",E1579&lt;&gt;"36 送付中"),1,0))</f>
        <v/>
      </c>
      <c r="AO1579" s="7" t="str">
        <f aca="false">IF(A1579="","",IF(AG1579&lt;&gt;"",1,0))</f>
        <v/>
      </c>
    </row>
    <row r="1580" customFormat="false" ht="15" hidden="false" customHeight="false" outlineLevel="0" collapsed="false">
      <c r="AL1580" s="7" t="str">
        <f aca="false">IF(A1580="","",IF(COUNTIF(A1580:A$2001,A1580)=1,1,0))</f>
        <v/>
      </c>
      <c r="AM1580" s="7" t="str">
        <f aca="true">IF(I1580="","",TODAY()-I1580)</f>
        <v/>
      </c>
      <c r="AN1580" s="7" t="str">
        <f aca="false">IF(A1580="","",IF(AND(E1580&lt;&gt;"33 確認済",E1580&lt;&gt;"36 送付中"),1,0))</f>
        <v/>
      </c>
      <c r="AO1580" s="7" t="str">
        <f aca="false">IF(A1580="","",IF(AG1580&lt;&gt;"",1,0))</f>
        <v/>
      </c>
    </row>
    <row r="1581" customFormat="false" ht="15" hidden="false" customHeight="false" outlineLevel="0" collapsed="false">
      <c r="AL1581" s="7" t="str">
        <f aca="false">IF(A1581="","",IF(COUNTIF(A1581:A$2001,A1581)=1,1,0))</f>
        <v/>
      </c>
      <c r="AM1581" s="7" t="str">
        <f aca="true">IF(I1581="","",TODAY()-I1581)</f>
        <v/>
      </c>
      <c r="AN1581" s="7" t="str">
        <f aca="false">IF(A1581="","",IF(AND(E1581&lt;&gt;"33 確認済",E1581&lt;&gt;"36 送付中"),1,0))</f>
        <v/>
      </c>
      <c r="AO1581" s="7" t="str">
        <f aca="false">IF(A1581="","",IF(AG1581&lt;&gt;"",1,0))</f>
        <v/>
      </c>
    </row>
    <row r="1582" customFormat="false" ht="15" hidden="false" customHeight="false" outlineLevel="0" collapsed="false">
      <c r="AL1582" s="7" t="str">
        <f aca="false">IF(A1582="","",IF(COUNTIF(A1582:A$2001,A1582)=1,1,0))</f>
        <v/>
      </c>
      <c r="AM1582" s="7" t="str">
        <f aca="true">IF(I1582="","",TODAY()-I1582)</f>
        <v/>
      </c>
      <c r="AN1582" s="7" t="str">
        <f aca="false">IF(A1582="","",IF(AND(E1582&lt;&gt;"33 確認済",E1582&lt;&gt;"36 送付中"),1,0))</f>
        <v/>
      </c>
      <c r="AO1582" s="7" t="str">
        <f aca="false">IF(A1582="","",IF(AG1582&lt;&gt;"",1,0))</f>
        <v/>
      </c>
    </row>
    <row r="1583" customFormat="false" ht="15" hidden="false" customHeight="false" outlineLevel="0" collapsed="false">
      <c r="AL1583" s="7" t="str">
        <f aca="false">IF(A1583="","",IF(COUNTIF(A1583:A$2001,A1583)=1,1,0))</f>
        <v/>
      </c>
      <c r="AM1583" s="7" t="str">
        <f aca="true">IF(I1583="","",TODAY()-I1583)</f>
        <v/>
      </c>
      <c r="AN1583" s="7" t="str">
        <f aca="false">IF(A1583="","",IF(AND(E1583&lt;&gt;"33 確認済",E1583&lt;&gt;"36 送付中"),1,0))</f>
        <v/>
      </c>
      <c r="AO1583" s="7" t="str">
        <f aca="false">IF(A1583="","",IF(AG1583&lt;&gt;"",1,0))</f>
        <v/>
      </c>
    </row>
    <row r="1584" customFormat="false" ht="15" hidden="false" customHeight="false" outlineLevel="0" collapsed="false">
      <c r="AL1584" s="7" t="str">
        <f aca="false">IF(A1584="","",IF(COUNTIF(A1584:A$2001,A1584)=1,1,0))</f>
        <v/>
      </c>
      <c r="AM1584" s="7" t="str">
        <f aca="true">IF(I1584="","",TODAY()-I1584)</f>
        <v/>
      </c>
      <c r="AN1584" s="7" t="str">
        <f aca="false">IF(A1584="","",IF(AND(E1584&lt;&gt;"33 確認済",E1584&lt;&gt;"36 送付中"),1,0))</f>
        <v/>
      </c>
      <c r="AO1584" s="7" t="str">
        <f aca="false">IF(A1584="","",IF(AG1584&lt;&gt;"",1,0))</f>
        <v/>
      </c>
    </row>
    <row r="1585" customFormat="false" ht="15" hidden="false" customHeight="false" outlineLevel="0" collapsed="false">
      <c r="AL1585" s="7" t="str">
        <f aca="false">IF(A1585="","",IF(COUNTIF(A1585:A$2001,A1585)=1,1,0))</f>
        <v/>
      </c>
      <c r="AM1585" s="7" t="str">
        <f aca="true">IF(I1585="","",TODAY()-I1585)</f>
        <v/>
      </c>
      <c r="AN1585" s="7" t="str">
        <f aca="false">IF(A1585="","",IF(AND(E1585&lt;&gt;"33 確認済",E1585&lt;&gt;"36 送付中"),1,0))</f>
        <v/>
      </c>
      <c r="AO1585" s="7" t="str">
        <f aca="false">IF(A1585="","",IF(AG1585&lt;&gt;"",1,0))</f>
        <v/>
      </c>
    </row>
    <row r="1586" customFormat="false" ht="15" hidden="false" customHeight="false" outlineLevel="0" collapsed="false">
      <c r="AL1586" s="7" t="str">
        <f aca="false">IF(A1586="","",IF(COUNTIF(A1586:A$2001,A1586)=1,1,0))</f>
        <v/>
      </c>
      <c r="AM1586" s="7" t="str">
        <f aca="true">IF(I1586="","",TODAY()-I1586)</f>
        <v/>
      </c>
      <c r="AN1586" s="7" t="str">
        <f aca="false">IF(A1586="","",IF(AND(E1586&lt;&gt;"33 確認済",E1586&lt;&gt;"36 送付中"),1,0))</f>
        <v/>
      </c>
      <c r="AO1586" s="7" t="str">
        <f aca="false">IF(A1586="","",IF(AG1586&lt;&gt;"",1,0))</f>
        <v/>
      </c>
    </row>
    <row r="1587" customFormat="false" ht="15" hidden="false" customHeight="false" outlineLevel="0" collapsed="false">
      <c r="AL1587" s="7" t="str">
        <f aca="false">IF(A1587="","",IF(COUNTIF(A1587:A$2001,A1587)=1,1,0))</f>
        <v/>
      </c>
      <c r="AM1587" s="7" t="str">
        <f aca="true">IF(I1587="","",TODAY()-I1587)</f>
        <v/>
      </c>
      <c r="AN1587" s="7" t="str">
        <f aca="false">IF(A1587="","",IF(AND(E1587&lt;&gt;"33 確認済",E1587&lt;&gt;"36 送付中"),1,0))</f>
        <v/>
      </c>
      <c r="AO1587" s="7" t="str">
        <f aca="false">IF(A1587="","",IF(AG1587&lt;&gt;"",1,0))</f>
        <v/>
      </c>
    </row>
    <row r="1588" customFormat="false" ht="15" hidden="false" customHeight="false" outlineLevel="0" collapsed="false">
      <c r="AL1588" s="7" t="str">
        <f aca="false">IF(A1588="","",IF(COUNTIF(A1588:A$2001,A1588)=1,1,0))</f>
        <v/>
      </c>
      <c r="AM1588" s="7" t="str">
        <f aca="true">IF(I1588="","",TODAY()-I1588)</f>
        <v/>
      </c>
      <c r="AN1588" s="7" t="str">
        <f aca="false">IF(A1588="","",IF(AND(E1588&lt;&gt;"33 確認済",E1588&lt;&gt;"36 送付中"),1,0))</f>
        <v/>
      </c>
      <c r="AO1588" s="7" t="str">
        <f aca="false">IF(A1588="","",IF(AG1588&lt;&gt;"",1,0))</f>
        <v/>
      </c>
    </row>
    <row r="1589" customFormat="false" ht="15" hidden="false" customHeight="false" outlineLevel="0" collapsed="false">
      <c r="AL1589" s="7" t="str">
        <f aca="false">IF(A1589="","",IF(COUNTIF(A1589:A$2001,A1589)=1,1,0))</f>
        <v/>
      </c>
      <c r="AM1589" s="7" t="str">
        <f aca="true">IF(I1589="","",TODAY()-I1589)</f>
        <v/>
      </c>
      <c r="AN1589" s="7" t="str">
        <f aca="false">IF(A1589="","",IF(AND(E1589&lt;&gt;"33 確認済",E1589&lt;&gt;"36 送付中"),1,0))</f>
        <v/>
      </c>
      <c r="AO1589" s="7" t="str">
        <f aca="false">IF(A1589="","",IF(AG1589&lt;&gt;"",1,0))</f>
        <v/>
      </c>
    </row>
    <row r="1590" customFormat="false" ht="15" hidden="false" customHeight="false" outlineLevel="0" collapsed="false">
      <c r="AL1590" s="7" t="str">
        <f aca="false">IF(A1590="","",IF(COUNTIF(A1590:A$2001,A1590)=1,1,0))</f>
        <v/>
      </c>
      <c r="AM1590" s="7" t="str">
        <f aca="true">IF(I1590="","",TODAY()-I1590)</f>
        <v/>
      </c>
      <c r="AN1590" s="7" t="str">
        <f aca="false">IF(A1590="","",IF(AND(E1590&lt;&gt;"33 確認済",E1590&lt;&gt;"36 送付中"),1,0))</f>
        <v/>
      </c>
      <c r="AO1590" s="7" t="str">
        <f aca="false">IF(A1590="","",IF(AG1590&lt;&gt;"",1,0))</f>
        <v/>
      </c>
    </row>
    <row r="1591" customFormat="false" ht="15" hidden="false" customHeight="false" outlineLevel="0" collapsed="false">
      <c r="AL1591" s="7" t="str">
        <f aca="false">IF(A1591="","",IF(COUNTIF(A1591:A$2001,A1591)=1,1,0))</f>
        <v/>
      </c>
      <c r="AM1591" s="7" t="str">
        <f aca="true">IF(I1591="","",TODAY()-I1591)</f>
        <v/>
      </c>
      <c r="AN1591" s="7" t="str">
        <f aca="false">IF(A1591="","",IF(AND(E1591&lt;&gt;"33 確認済",E1591&lt;&gt;"36 送付中"),1,0))</f>
        <v/>
      </c>
      <c r="AO1591" s="7" t="str">
        <f aca="false">IF(A1591="","",IF(AG1591&lt;&gt;"",1,0))</f>
        <v/>
      </c>
    </row>
    <row r="1592" customFormat="false" ht="15" hidden="false" customHeight="false" outlineLevel="0" collapsed="false">
      <c r="AL1592" s="7" t="str">
        <f aca="false">IF(A1592="","",IF(COUNTIF(A1592:A$2001,A1592)=1,1,0))</f>
        <v/>
      </c>
      <c r="AM1592" s="7" t="str">
        <f aca="true">IF(I1592="","",TODAY()-I1592)</f>
        <v/>
      </c>
      <c r="AN1592" s="7" t="str">
        <f aca="false">IF(A1592="","",IF(AND(E1592&lt;&gt;"33 確認済",E1592&lt;&gt;"36 送付中"),1,0))</f>
        <v/>
      </c>
      <c r="AO1592" s="7" t="str">
        <f aca="false">IF(A1592="","",IF(AG1592&lt;&gt;"",1,0))</f>
        <v/>
      </c>
    </row>
    <row r="1593" customFormat="false" ht="15" hidden="false" customHeight="false" outlineLevel="0" collapsed="false">
      <c r="AL1593" s="7" t="str">
        <f aca="false">IF(A1593="","",IF(COUNTIF(A1593:A$2001,A1593)=1,1,0))</f>
        <v/>
      </c>
      <c r="AM1593" s="7" t="str">
        <f aca="true">IF(I1593="","",TODAY()-I1593)</f>
        <v/>
      </c>
      <c r="AN1593" s="7" t="str">
        <f aca="false">IF(A1593="","",IF(AND(E1593&lt;&gt;"33 確認済",E1593&lt;&gt;"36 送付中"),1,0))</f>
        <v/>
      </c>
      <c r="AO1593" s="7" t="str">
        <f aca="false">IF(A1593="","",IF(AG1593&lt;&gt;"",1,0))</f>
        <v/>
      </c>
    </row>
    <row r="1594" customFormat="false" ht="15" hidden="false" customHeight="false" outlineLevel="0" collapsed="false">
      <c r="AL1594" s="7" t="str">
        <f aca="false">IF(A1594="","",IF(COUNTIF(A1594:A$2001,A1594)=1,1,0))</f>
        <v/>
      </c>
      <c r="AM1594" s="7" t="str">
        <f aca="true">IF(I1594="","",TODAY()-I1594)</f>
        <v/>
      </c>
      <c r="AN1594" s="7" t="str">
        <f aca="false">IF(A1594="","",IF(AND(E1594&lt;&gt;"33 確認済",E1594&lt;&gt;"36 送付中"),1,0))</f>
        <v/>
      </c>
      <c r="AO1594" s="7" t="str">
        <f aca="false">IF(A1594="","",IF(AG1594&lt;&gt;"",1,0))</f>
        <v/>
      </c>
    </row>
    <row r="1595" customFormat="false" ht="15" hidden="false" customHeight="false" outlineLevel="0" collapsed="false">
      <c r="AL1595" s="7" t="str">
        <f aca="false">IF(A1595="","",IF(COUNTIF(A1595:A$2001,A1595)=1,1,0))</f>
        <v/>
      </c>
      <c r="AM1595" s="7" t="str">
        <f aca="true">IF(I1595="","",TODAY()-I1595)</f>
        <v/>
      </c>
      <c r="AN1595" s="7" t="str">
        <f aca="false">IF(A1595="","",IF(AND(E1595&lt;&gt;"33 確認済",E1595&lt;&gt;"36 送付中"),1,0))</f>
        <v/>
      </c>
      <c r="AO1595" s="7" t="str">
        <f aca="false">IF(A1595="","",IF(AG1595&lt;&gt;"",1,0))</f>
        <v/>
      </c>
    </row>
    <row r="1596" customFormat="false" ht="15" hidden="false" customHeight="false" outlineLevel="0" collapsed="false">
      <c r="AL1596" s="7" t="str">
        <f aca="false">IF(A1596="","",IF(COUNTIF(A1596:A$2001,A1596)=1,1,0))</f>
        <v/>
      </c>
      <c r="AM1596" s="7" t="str">
        <f aca="true">IF(I1596="","",TODAY()-I1596)</f>
        <v/>
      </c>
      <c r="AN1596" s="7" t="str">
        <f aca="false">IF(A1596="","",IF(AND(E1596&lt;&gt;"33 確認済",E1596&lt;&gt;"36 送付中"),1,0))</f>
        <v/>
      </c>
      <c r="AO1596" s="7" t="str">
        <f aca="false">IF(A1596="","",IF(AG1596&lt;&gt;"",1,0))</f>
        <v/>
      </c>
    </row>
    <row r="1597" customFormat="false" ht="15" hidden="false" customHeight="false" outlineLevel="0" collapsed="false">
      <c r="AL1597" s="7" t="str">
        <f aca="false">IF(A1597="","",IF(COUNTIF(A1597:A$2001,A1597)=1,1,0))</f>
        <v/>
      </c>
      <c r="AM1597" s="7" t="str">
        <f aca="true">IF(I1597="","",TODAY()-I1597)</f>
        <v/>
      </c>
      <c r="AN1597" s="7" t="str">
        <f aca="false">IF(A1597="","",IF(AND(E1597&lt;&gt;"33 確認済",E1597&lt;&gt;"36 送付中"),1,0))</f>
        <v/>
      </c>
      <c r="AO1597" s="7" t="str">
        <f aca="false">IF(A1597="","",IF(AG1597&lt;&gt;"",1,0))</f>
        <v/>
      </c>
    </row>
    <row r="1598" customFormat="false" ht="15" hidden="false" customHeight="false" outlineLevel="0" collapsed="false">
      <c r="AL1598" s="7" t="str">
        <f aca="false">IF(A1598="","",IF(COUNTIF(A1598:A$2001,A1598)=1,1,0))</f>
        <v/>
      </c>
      <c r="AM1598" s="7" t="str">
        <f aca="true">IF(I1598="","",TODAY()-I1598)</f>
        <v/>
      </c>
      <c r="AN1598" s="7" t="str">
        <f aca="false">IF(A1598="","",IF(AND(E1598&lt;&gt;"33 確認済",E1598&lt;&gt;"36 送付中"),1,0))</f>
        <v/>
      </c>
      <c r="AO1598" s="7" t="str">
        <f aca="false">IF(A1598="","",IF(AG1598&lt;&gt;"",1,0))</f>
        <v/>
      </c>
    </row>
    <row r="1599" customFormat="false" ht="15" hidden="false" customHeight="false" outlineLevel="0" collapsed="false">
      <c r="AL1599" s="7" t="str">
        <f aca="false">IF(A1599="","",IF(COUNTIF(A1599:A$2001,A1599)=1,1,0))</f>
        <v/>
      </c>
      <c r="AM1599" s="7" t="str">
        <f aca="true">IF(I1599="","",TODAY()-I1599)</f>
        <v/>
      </c>
      <c r="AN1599" s="7" t="str">
        <f aca="false">IF(A1599="","",IF(AND(E1599&lt;&gt;"33 確認済",E1599&lt;&gt;"36 送付中"),1,0))</f>
        <v/>
      </c>
      <c r="AO1599" s="7" t="str">
        <f aca="false">IF(A1599="","",IF(AG1599&lt;&gt;"",1,0))</f>
        <v/>
      </c>
    </row>
    <row r="1600" customFormat="false" ht="15" hidden="false" customHeight="false" outlineLevel="0" collapsed="false">
      <c r="AL1600" s="7" t="str">
        <f aca="false">IF(A1600="","",IF(COUNTIF(A1600:A$2001,A1600)=1,1,0))</f>
        <v/>
      </c>
      <c r="AM1600" s="7" t="str">
        <f aca="true">IF(I1600="","",TODAY()-I1600)</f>
        <v/>
      </c>
      <c r="AN1600" s="7" t="str">
        <f aca="false">IF(A1600="","",IF(AND(E1600&lt;&gt;"33 確認済",E1600&lt;&gt;"36 送付中"),1,0))</f>
        <v/>
      </c>
      <c r="AO1600" s="7" t="str">
        <f aca="false">IF(A1600="","",IF(AG1600&lt;&gt;"",1,0))</f>
        <v/>
      </c>
    </row>
    <row r="1601" customFormat="false" ht="15" hidden="false" customHeight="false" outlineLevel="0" collapsed="false">
      <c r="AL1601" s="7" t="str">
        <f aca="false">IF(A1601="","",IF(COUNTIF(A1601:A$2001,A1601)=1,1,0))</f>
        <v/>
      </c>
      <c r="AM1601" s="7" t="str">
        <f aca="true">IF(I1601="","",TODAY()-I1601)</f>
        <v/>
      </c>
      <c r="AN1601" s="7" t="str">
        <f aca="false">IF(A1601="","",IF(AND(E1601&lt;&gt;"33 確認済",E1601&lt;&gt;"36 送付中"),1,0))</f>
        <v/>
      </c>
      <c r="AO1601" s="7" t="str">
        <f aca="false">IF(A1601="","",IF(AG1601&lt;&gt;"",1,0))</f>
        <v/>
      </c>
    </row>
    <row r="1602" customFormat="false" ht="15" hidden="false" customHeight="false" outlineLevel="0" collapsed="false">
      <c r="AL1602" s="7" t="str">
        <f aca="false">IF(A1602="","",IF(COUNTIF(A1602:A$2001,A1602)=1,1,0))</f>
        <v/>
      </c>
      <c r="AM1602" s="7" t="str">
        <f aca="true">IF(I1602="","",TODAY()-I1602)</f>
        <v/>
      </c>
      <c r="AN1602" s="7" t="str">
        <f aca="false">IF(A1602="","",IF(AND(E1602&lt;&gt;"33 確認済",E1602&lt;&gt;"36 送付中"),1,0))</f>
        <v/>
      </c>
      <c r="AO1602" s="7" t="str">
        <f aca="false">IF(A1602="","",IF(AG1602&lt;&gt;"",1,0))</f>
        <v/>
      </c>
    </row>
    <row r="1603" customFormat="false" ht="15" hidden="false" customHeight="false" outlineLevel="0" collapsed="false">
      <c r="AL1603" s="7" t="str">
        <f aca="false">IF(A1603="","",IF(COUNTIF(A1603:A$2001,A1603)=1,1,0))</f>
        <v/>
      </c>
      <c r="AM1603" s="7" t="str">
        <f aca="true">IF(I1603="","",TODAY()-I1603)</f>
        <v/>
      </c>
      <c r="AN1603" s="7" t="str">
        <f aca="false">IF(A1603="","",IF(AND(E1603&lt;&gt;"33 確認済",E1603&lt;&gt;"36 送付中"),1,0))</f>
        <v/>
      </c>
      <c r="AO1603" s="7" t="str">
        <f aca="false">IF(A1603="","",IF(AG1603&lt;&gt;"",1,0))</f>
        <v/>
      </c>
    </row>
    <row r="1604" customFormat="false" ht="15" hidden="false" customHeight="false" outlineLevel="0" collapsed="false">
      <c r="AL1604" s="7" t="str">
        <f aca="false">IF(A1604="","",IF(COUNTIF(A1604:A$2001,A1604)=1,1,0))</f>
        <v/>
      </c>
      <c r="AM1604" s="7" t="str">
        <f aca="true">IF(I1604="","",TODAY()-I1604)</f>
        <v/>
      </c>
      <c r="AN1604" s="7" t="str">
        <f aca="false">IF(A1604="","",IF(AND(E1604&lt;&gt;"33 確認済",E1604&lt;&gt;"36 送付中"),1,0))</f>
        <v/>
      </c>
      <c r="AO1604" s="7" t="str">
        <f aca="false">IF(A1604="","",IF(AG1604&lt;&gt;"",1,0))</f>
        <v/>
      </c>
    </row>
    <row r="1605" customFormat="false" ht="15" hidden="false" customHeight="false" outlineLevel="0" collapsed="false">
      <c r="AL1605" s="7" t="str">
        <f aca="false">IF(A1605="","",IF(COUNTIF(A1605:A$2001,A1605)=1,1,0))</f>
        <v/>
      </c>
      <c r="AM1605" s="7" t="str">
        <f aca="true">IF(I1605="","",TODAY()-I1605)</f>
        <v/>
      </c>
      <c r="AN1605" s="7" t="str">
        <f aca="false">IF(A1605="","",IF(AND(E1605&lt;&gt;"33 確認済",E1605&lt;&gt;"36 送付中"),1,0))</f>
        <v/>
      </c>
      <c r="AO1605" s="7" t="str">
        <f aca="false">IF(A1605="","",IF(AG1605&lt;&gt;"",1,0))</f>
        <v/>
      </c>
    </row>
    <row r="1606" customFormat="false" ht="15" hidden="false" customHeight="false" outlineLevel="0" collapsed="false">
      <c r="AL1606" s="7" t="str">
        <f aca="false">IF(A1606="","",IF(COUNTIF(A1606:A$2001,A1606)=1,1,0))</f>
        <v/>
      </c>
      <c r="AM1606" s="7" t="str">
        <f aca="true">IF(I1606="","",TODAY()-I1606)</f>
        <v/>
      </c>
      <c r="AN1606" s="7" t="str">
        <f aca="false">IF(A1606="","",IF(AND(E1606&lt;&gt;"33 確認済",E1606&lt;&gt;"36 送付中"),1,0))</f>
        <v/>
      </c>
      <c r="AO1606" s="7" t="str">
        <f aca="false">IF(A1606="","",IF(AG1606&lt;&gt;"",1,0))</f>
        <v/>
      </c>
    </row>
    <row r="1607" customFormat="false" ht="15" hidden="false" customHeight="false" outlineLevel="0" collapsed="false">
      <c r="AL1607" s="7" t="str">
        <f aca="false">IF(A1607="","",IF(COUNTIF(A1607:A$2001,A1607)=1,1,0))</f>
        <v/>
      </c>
      <c r="AM1607" s="7" t="str">
        <f aca="true">IF(I1607="","",TODAY()-I1607)</f>
        <v/>
      </c>
      <c r="AN1607" s="7" t="str">
        <f aca="false">IF(A1607="","",IF(AND(E1607&lt;&gt;"33 確認済",E1607&lt;&gt;"36 送付中"),1,0))</f>
        <v/>
      </c>
      <c r="AO1607" s="7" t="str">
        <f aca="false">IF(A1607="","",IF(AG1607&lt;&gt;"",1,0))</f>
        <v/>
      </c>
    </row>
    <row r="1608" customFormat="false" ht="15" hidden="false" customHeight="false" outlineLevel="0" collapsed="false">
      <c r="AL1608" s="7" t="str">
        <f aca="false">IF(A1608="","",IF(COUNTIF(A1608:A$2001,A1608)=1,1,0))</f>
        <v/>
      </c>
      <c r="AM1608" s="7" t="str">
        <f aca="true">IF(I1608="","",TODAY()-I1608)</f>
        <v/>
      </c>
      <c r="AN1608" s="7" t="str">
        <f aca="false">IF(A1608="","",IF(AND(E1608&lt;&gt;"33 確認済",E1608&lt;&gt;"36 送付中"),1,0))</f>
        <v/>
      </c>
      <c r="AO1608" s="7" t="str">
        <f aca="false">IF(A1608="","",IF(AG1608&lt;&gt;"",1,0))</f>
        <v/>
      </c>
    </row>
    <row r="1609" customFormat="false" ht="15" hidden="false" customHeight="false" outlineLevel="0" collapsed="false">
      <c r="AL1609" s="7" t="str">
        <f aca="false">IF(A1609="","",IF(COUNTIF(A1609:A$2001,A1609)=1,1,0))</f>
        <v/>
      </c>
      <c r="AM1609" s="7" t="str">
        <f aca="true">IF(I1609="","",TODAY()-I1609)</f>
        <v/>
      </c>
      <c r="AN1609" s="7" t="str">
        <f aca="false">IF(A1609="","",IF(AND(E1609&lt;&gt;"33 確認済",E1609&lt;&gt;"36 送付中"),1,0))</f>
        <v/>
      </c>
      <c r="AO1609" s="7" t="str">
        <f aca="false">IF(A1609="","",IF(AG1609&lt;&gt;"",1,0))</f>
        <v/>
      </c>
    </row>
    <row r="1610" customFormat="false" ht="15" hidden="false" customHeight="false" outlineLevel="0" collapsed="false">
      <c r="AL1610" s="7" t="str">
        <f aca="false">IF(A1610="","",IF(COUNTIF(A1610:A$2001,A1610)=1,1,0))</f>
        <v/>
      </c>
      <c r="AM1610" s="7" t="str">
        <f aca="true">IF(I1610="","",TODAY()-I1610)</f>
        <v/>
      </c>
      <c r="AN1610" s="7" t="str">
        <f aca="false">IF(A1610="","",IF(AND(E1610&lt;&gt;"33 確認済",E1610&lt;&gt;"36 送付中"),1,0))</f>
        <v/>
      </c>
      <c r="AO1610" s="7" t="str">
        <f aca="false">IF(A1610="","",IF(AG1610&lt;&gt;"",1,0))</f>
        <v/>
      </c>
    </row>
    <row r="1611" customFormat="false" ht="15" hidden="false" customHeight="false" outlineLevel="0" collapsed="false">
      <c r="AL1611" s="7" t="str">
        <f aca="false">IF(A1611="","",IF(COUNTIF(A1611:A$2001,A1611)=1,1,0))</f>
        <v/>
      </c>
      <c r="AM1611" s="7" t="str">
        <f aca="true">IF(I1611="","",TODAY()-I1611)</f>
        <v/>
      </c>
      <c r="AN1611" s="7" t="str">
        <f aca="false">IF(A1611="","",IF(AND(E1611&lt;&gt;"33 確認済",E1611&lt;&gt;"36 送付中"),1,0))</f>
        <v/>
      </c>
      <c r="AO1611" s="7" t="str">
        <f aca="false">IF(A1611="","",IF(AG1611&lt;&gt;"",1,0))</f>
        <v/>
      </c>
    </row>
    <row r="1612" customFormat="false" ht="15" hidden="false" customHeight="false" outlineLevel="0" collapsed="false">
      <c r="AL1612" s="7" t="str">
        <f aca="false">IF(A1612="","",IF(COUNTIF(A1612:A$2001,A1612)=1,1,0))</f>
        <v/>
      </c>
      <c r="AM1612" s="7" t="str">
        <f aca="true">IF(I1612="","",TODAY()-I1612)</f>
        <v/>
      </c>
      <c r="AN1612" s="7" t="str">
        <f aca="false">IF(A1612="","",IF(AND(E1612&lt;&gt;"33 確認済",E1612&lt;&gt;"36 送付中"),1,0))</f>
        <v/>
      </c>
      <c r="AO1612" s="7" t="str">
        <f aca="false">IF(A1612="","",IF(AG1612&lt;&gt;"",1,0))</f>
        <v/>
      </c>
    </row>
    <row r="1613" customFormat="false" ht="15" hidden="false" customHeight="false" outlineLevel="0" collapsed="false">
      <c r="AL1613" s="7" t="str">
        <f aca="false">IF(A1613="","",IF(COUNTIF(A1613:A$2001,A1613)=1,1,0))</f>
        <v/>
      </c>
      <c r="AM1613" s="7" t="str">
        <f aca="true">IF(I1613="","",TODAY()-I1613)</f>
        <v/>
      </c>
      <c r="AN1613" s="7" t="str">
        <f aca="false">IF(A1613="","",IF(AND(E1613&lt;&gt;"33 確認済",E1613&lt;&gt;"36 送付中"),1,0))</f>
        <v/>
      </c>
      <c r="AO1613" s="7" t="str">
        <f aca="false">IF(A1613="","",IF(AG1613&lt;&gt;"",1,0))</f>
        <v/>
      </c>
    </row>
    <row r="1614" customFormat="false" ht="15" hidden="false" customHeight="false" outlineLevel="0" collapsed="false">
      <c r="AL1614" s="7" t="str">
        <f aca="false">IF(A1614="","",IF(COUNTIF(A1614:A$2001,A1614)=1,1,0))</f>
        <v/>
      </c>
      <c r="AM1614" s="7" t="str">
        <f aca="true">IF(I1614="","",TODAY()-I1614)</f>
        <v/>
      </c>
      <c r="AN1614" s="7" t="str">
        <f aca="false">IF(A1614="","",IF(AND(E1614&lt;&gt;"33 確認済",E1614&lt;&gt;"36 送付中"),1,0))</f>
        <v/>
      </c>
      <c r="AO1614" s="7" t="str">
        <f aca="false">IF(A1614="","",IF(AG1614&lt;&gt;"",1,0))</f>
        <v/>
      </c>
    </row>
    <row r="1615" customFormat="false" ht="15" hidden="false" customHeight="false" outlineLevel="0" collapsed="false">
      <c r="AL1615" s="7" t="str">
        <f aca="false">IF(A1615="","",IF(COUNTIF(A1615:A$2001,A1615)=1,1,0))</f>
        <v/>
      </c>
      <c r="AM1615" s="7" t="str">
        <f aca="true">IF(I1615="","",TODAY()-I1615)</f>
        <v/>
      </c>
      <c r="AN1615" s="7" t="str">
        <f aca="false">IF(A1615="","",IF(AND(E1615&lt;&gt;"33 確認済",E1615&lt;&gt;"36 送付中"),1,0))</f>
        <v/>
      </c>
      <c r="AO1615" s="7" t="str">
        <f aca="false">IF(A1615="","",IF(AG1615&lt;&gt;"",1,0))</f>
        <v/>
      </c>
    </row>
    <row r="1616" customFormat="false" ht="15" hidden="false" customHeight="false" outlineLevel="0" collapsed="false">
      <c r="AL1616" s="7" t="str">
        <f aca="false">IF(A1616="","",IF(COUNTIF(A1616:A$2001,A1616)=1,1,0))</f>
        <v/>
      </c>
      <c r="AM1616" s="7" t="str">
        <f aca="true">IF(I1616="","",TODAY()-I1616)</f>
        <v/>
      </c>
      <c r="AN1616" s="7" t="str">
        <f aca="false">IF(A1616="","",IF(AND(E1616&lt;&gt;"33 確認済",E1616&lt;&gt;"36 送付中"),1,0))</f>
        <v/>
      </c>
      <c r="AO1616" s="7" t="str">
        <f aca="false">IF(A1616="","",IF(AG1616&lt;&gt;"",1,0))</f>
        <v/>
      </c>
    </row>
    <row r="1617" customFormat="false" ht="15" hidden="false" customHeight="false" outlineLevel="0" collapsed="false">
      <c r="AL1617" s="7" t="str">
        <f aca="false">IF(A1617="","",IF(COUNTIF(A1617:A$2001,A1617)=1,1,0))</f>
        <v/>
      </c>
      <c r="AM1617" s="7" t="str">
        <f aca="true">IF(I1617="","",TODAY()-I1617)</f>
        <v/>
      </c>
      <c r="AN1617" s="7" t="str">
        <f aca="false">IF(A1617="","",IF(AND(E1617&lt;&gt;"33 確認済",E1617&lt;&gt;"36 送付中"),1,0))</f>
        <v/>
      </c>
      <c r="AO1617" s="7" t="str">
        <f aca="false">IF(A1617="","",IF(AG1617&lt;&gt;"",1,0))</f>
        <v/>
      </c>
    </row>
    <row r="1618" customFormat="false" ht="15" hidden="false" customHeight="false" outlineLevel="0" collapsed="false">
      <c r="AL1618" s="7" t="str">
        <f aca="false">IF(A1618="","",IF(COUNTIF(A1618:A$2001,A1618)=1,1,0))</f>
        <v/>
      </c>
      <c r="AM1618" s="7" t="str">
        <f aca="true">IF(I1618="","",TODAY()-I1618)</f>
        <v/>
      </c>
      <c r="AN1618" s="7" t="str">
        <f aca="false">IF(A1618="","",IF(AND(E1618&lt;&gt;"33 確認済",E1618&lt;&gt;"36 送付中"),1,0))</f>
        <v/>
      </c>
      <c r="AO1618" s="7" t="str">
        <f aca="false">IF(A1618="","",IF(AG1618&lt;&gt;"",1,0))</f>
        <v/>
      </c>
    </row>
    <row r="1619" customFormat="false" ht="15" hidden="false" customHeight="false" outlineLevel="0" collapsed="false">
      <c r="AL1619" s="7" t="str">
        <f aca="false">IF(A1619="","",IF(COUNTIF(A1619:A$2001,A1619)=1,1,0))</f>
        <v/>
      </c>
      <c r="AM1619" s="7" t="str">
        <f aca="true">IF(I1619="","",TODAY()-I1619)</f>
        <v/>
      </c>
      <c r="AN1619" s="7" t="str">
        <f aca="false">IF(A1619="","",IF(AND(E1619&lt;&gt;"33 確認済",E1619&lt;&gt;"36 送付中"),1,0))</f>
        <v/>
      </c>
      <c r="AO1619" s="7" t="str">
        <f aca="false">IF(A1619="","",IF(AG1619&lt;&gt;"",1,0))</f>
        <v/>
      </c>
    </row>
    <row r="1620" customFormat="false" ht="15" hidden="false" customHeight="false" outlineLevel="0" collapsed="false">
      <c r="AL1620" s="7" t="str">
        <f aca="false">IF(A1620="","",IF(COUNTIF(A1620:A$2001,A1620)=1,1,0))</f>
        <v/>
      </c>
      <c r="AM1620" s="7" t="str">
        <f aca="true">IF(I1620="","",TODAY()-I1620)</f>
        <v/>
      </c>
      <c r="AN1620" s="7" t="str">
        <f aca="false">IF(A1620="","",IF(AND(E1620&lt;&gt;"33 確認済",E1620&lt;&gt;"36 送付中"),1,0))</f>
        <v/>
      </c>
      <c r="AO1620" s="7" t="str">
        <f aca="false">IF(A1620="","",IF(AG1620&lt;&gt;"",1,0))</f>
        <v/>
      </c>
    </row>
    <row r="1621" customFormat="false" ht="15" hidden="false" customHeight="false" outlineLevel="0" collapsed="false">
      <c r="AL1621" s="7" t="str">
        <f aca="false">IF(A1621="","",IF(COUNTIF(A1621:A$2001,A1621)=1,1,0))</f>
        <v/>
      </c>
      <c r="AM1621" s="7" t="str">
        <f aca="true">IF(I1621="","",TODAY()-I1621)</f>
        <v/>
      </c>
      <c r="AN1621" s="7" t="str">
        <f aca="false">IF(A1621="","",IF(AND(E1621&lt;&gt;"33 確認済",E1621&lt;&gt;"36 送付中"),1,0))</f>
        <v/>
      </c>
      <c r="AO1621" s="7" t="str">
        <f aca="false">IF(A1621="","",IF(AG1621&lt;&gt;"",1,0))</f>
        <v/>
      </c>
    </row>
    <row r="1622" customFormat="false" ht="15" hidden="false" customHeight="false" outlineLevel="0" collapsed="false">
      <c r="AL1622" s="7" t="str">
        <f aca="false">IF(A1622="","",IF(COUNTIF(A1622:A$2001,A1622)=1,1,0))</f>
        <v/>
      </c>
      <c r="AM1622" s="7" t="str">
        <f aca="true">IF(I1622="","",TODAY()-I1622)</f>
        <v/>
      </c>
      <c r="AN1622" s="7" t="str">
        <f aca="false">IF(A1622="","",IF(AND(E1622&lt;&gt;"33 確認済",E1622&lt;&gt;"36 送付中"),1,0))</f>
        <v/>
      </c>
      <c r="AO1622" s="7" t="str">
        <f aca="false">IF(A1622="","",IF(AG1622&lt;&gt;"",1,0))</f>
        <v/>
      </c>
    </row>
    <row r="1623" customFormat="false" ht="15" hidden="false" customHeight="false" outlineLevel="0" collapsed="false">
      <c r="AL1623" s="7" t="str">
        <f aca="false">IF(A1623="","",IF(COUNTIF(A1623:A$2001,A1623)=1,1,0))</f>
        <v/>
      </c>
      <c r="AM1623" s="7" t="str">
        <f aca="true">IF(I1623="","",TODAY()-I1623)</f>
        <v/>
      </c>
      <c r="AN1623" s="7" t="str">
        <f aca="false">IF(A1623="","",IF(AND(E1623&lt;&gt;"33 確認済",E1623&lt;&gt;"36 送付中"),1,0))</f>
        <v/>
      </c>
      <c r="AO1623" s="7" t="str">
        <f aca="false">IF(A1623="","",IF(AG1623&lt;&gt;"",1,0))</f>
        <v/>
      </c>
    </row>
    <row r="1624" customFormat="false" ht="15" hidden="false" customHeight="false" outlineLevel="0" collapsed="false">
      <c r="AL1624" s="7" t="str">
        <f aca="false">IF(A1624="","",IF(COUNTIF(A1624:A$2001,A1624)=1,1,0))</f>
        <v/>
      </c>
      <c r="AM1624" s="7" t="str">
        <f aca="true">IF(I1624="","",TODAY()-I1624)</f>
        <v/>
      </c>
      <c r="AN1624" s="7" t="str">
        <f aca="false">IF(A1624="","",IF(AND(E1624&lt;&gt;"33 確認済",E1624&lt;&gt;"36 送付中"),1,0))</f>
        <v/>
      </c>
      <c r="AO1624" s="7" t="str">
        <f aca="false">IF(A1624="","",IF(AG1624&lt;&gt;"",1,0))</f>
        <v/>
      </c>
    </row>
    <row r="1625" customFormat="false" ht="15" hidden="false" customHeight="false" outlineLevel="0" collapsed="false">
      <c r="AL1625" s="7" t="str">
        <f aca="false">IF(A1625="","",IF(COUNTIF(A1625:A$2001,A1625)=1,1,0))</f>
        <v/>
      </c>
      <c r="AM1625" s="7" t="str">
        <f aca="true">IF(I1625="","",TODAY()-I1625)</f>
        <v/>
      </c>
      <c r="AN1625" s="7" t="str">
        <f aca="false">IF(A1625="","",IF(AND(E1625&lt;&gt;"33 確認済",E1625&lt;&gt;"36 送付中"),1,0))</f>
        <v/>
      </c>
      <c r="AO1625" s="7" t="str">
        <f aca="false">IF(A1625="","",IF(AG1625&lt;&gt;"",1,0))</f>
        <v/>
      </c>
    </row>
    <row r="1626" customFormat="false" ht="15" hidden="false" customHeight="false" outlineLevel="0" collapsed="false">
      <c r="AL1626" s="7" t="str">
        <f aca="false">IF(A1626="","",IF(COUNTIF(A1626:A$2001,A1626)=1,1,0))</f>
        <v/>
      </c>
      <c r="AM1626" s="7" t="str">
        <f aca="true">IF(I1626="","",TODAY()-I1626)</f>
        <v/>
      </c>
      <c r="AN1626" s="7" t="str">
        <f aca="false">IF(A1626="","",IF(AND(E1626&lt;&gt;"33 確認済",E1626&lt;&gt;"36 送付中"),1,0))</f>
        <v/>
      </c>
      <c r="AO1626" s="7" t="str">
        <f aca="false">IF(A1626="","",IF(AG1626&lt;&gt;"",1,0))</f>
        <v/>
      </c>
    </row>
    <row r="1627" customFormat="false" ht="15" hidden="false" customHeight="false" outlineLevel="0" collapsed="false">
      <c r="AL1627" s="7" t="str">
        <f aca="false">IF(A1627="","",IF(COUNTIF(A1627:A$2001,A1627)=1,1,0))</f>
        <v/>
      </c>
      <c r="AM1627" s="7" t="str">
        <f aca="true">IF(I1627="","",TODAY()-I1627)</f>
        <v/>
      </c>
      <c r="AN1627" s="7" t="str">
        <f aca="false">IF(A1627="","",IF(AND(E1627&lt;&gt;"33 確認済",E1627&lt;&gt;"36 送付中"),1,0))</f>
        <v/>
      </c>
      <c r="AO1627" s="7" t="str">
        <f aca="false">IF(A1627="","",IF(AG1627&lt;&gt;"",1,0))</f>
        <v/>
      </c>
    </row>
    <row r="1628" customFormat="false" ht="15" hidden="false" customHeight="false" outlineLevel="0" collapsed="false">
      <c r="AL1628" s="7" t="str">
        <f aca="false">IF(A1628="","",IF(COUNTIF(A1628:A$2001,A1628)=1,1,0))</f>
        <v/>
      </c>
      <c r="AM1628" s="7" t="str">
        <f aca="true">IF(I1628="","",TODAY()-I1628)</f>
        <v/>
      </c>
      <c r="AN1628" s="7" t="str">
        <f aca="false">IF(A1628="","",IF(AND(E1628&lt;&gt;"33 確認済",E1628&lt;&gt;"36 送付中"),1,0))</f>
        <v/>
      </c>
      <c r="AO1628" s="7" t="str">
        <f aca="false">IF(A1628="","",IF(AG1628&lt;&gt;"",1,0))</f>
        <v/>
      </c>
    </row>
    <row r="1629" customFormat="false" ht="15" hidden="false" customHeight="false" outlineLevel="0" collapsed="false">
      <c r="AL1629" s="7" t="str">
        <f aca="false">IF(A1629="","",IF(COUNTIF(A1629:A$2001,A1629)=1,1,0))</f>
        <v/>
      </c>
      <c r="AM1629" s="7" t="str">
        <f aca="true">IF(I1629="","",TODAY()-I1629)</f>
        <v/>
      </c>
      <c r="AN1629" s="7" t="str">
        <f aca="false">IF(A1629="","",IF(AND(E1629&lt;&gt;"33 確認済",E1629&lt;&gt;"36 送付中"),1,0))</f>
        <v/>
      </c>
      <c r="AO1629" s="7" t="str">
        <f aca="false">IF(A1629="","",IF(AG1629&lt;&gt;"",1,0))</f>
        <v/>
      </c>
    </row>
    <row r="1630" customFormat="false" ht="15" hidden="false" customHeight="false" outlineLevel="0" collapsed="false">
      <c r="AL1630" s="7" t="str">
        <f aca="false">IF(A1630="","",IF(COUNTIF(A1630:A$2001,A1630)=1,1,0))</f>
        <v/>
      </c>
      <c r="AM1630" s="7" t="str">
        <f aca="true">IF(I1630="","",TODAY()-I1630)</f>
        <v/>
      </c>
      <c r="AN1630" s="7" t="str">
        <f aca="false">IF(A1630="","",IF(AND(E1630&lt;&gt;"33 確認済",E1630&lt;&gt;"36 送付中"),1,0))</f>
        <v/>
      </c>
      <c r="AO1630" s="7" t="str">
        <f aca="false">IF(A1630="","",IF(AG1630&lt;&gt;"",1,0))</f>
        <v/>
      </c>
    </row>
    <row r="1631" customFormat="false" ht="15" hidden="false" customHeight="false" outlineLevel="0" collapsed="false">
      <c r="AL1631" s="7" t="str">
        <f aca="false">IF(A1631="","",IF(COUNTIF(A1631:A$2001,A1631)=1,1,0))</f>
        <v/>
      </c>
      <c r="AM1631" s="7" t="str">
        <f aca="true">IF(I1631="","",TODAY()-I1631)</f>
        <v/>
      </c>
      <c r="AN1631" s="7" t="str">
        <f aca="false">IF(A1631="","",IF(AND(E1631&lt;&gt;"33 確認済",E1631&lt;&gt;"36 送付中"),1,0))</f>
        <v/>
      </c>
      <c r="AO1631" s="7" t="str">
        <f aca="false">IF(A1631="","",IF(AG1631&lt;&gt;"",1,0))</f>
        <v/>
      </c>
    </row>
    <row r="1632" customFormat="false" ht="15" hidden="false" customHeight="false" outlineLevel="0" collapsed="false">
      <c r="AL1632" s="7" t="str">
        <f aca="false">IF(A1632="","",IF(COUNTIF(A1632:A$2001,A1632)=1,1,0))</f>
        <v/>
      </c>
      <c r="AM1632" s="7" t="str">
        <f aca="true">IF(I1632="","",TODAY()-I1632)</f>
        <v/>
      </c>
      <c r="AN1632" s="7" t="str">
        <f aca="false">IF(A1632="","",IF(AND(E1632&lt;&gt;"33 確認済",E1632&lt;&gt;"36 送付中"),1,0))</f>
        <v/>
      </c>
      <c r="AO1632" s="7" t="str">
        <f aca="false">IF(A1632="","",IF(AG1632&lt;&gt;"",1,0))</f>
        <v/>
      </c>
    </row>
    <row r="1633" customFormat="false" ht="15" hidden="false" customHeight="false" outlineLevel="0" collapsed="false">
      <c r="AL1633" s="7" t="str">
        <f aca="false">IF(A1633="","",IF(COUNTIF(A1633:A$2001,A1633)=1,1,0))</f>
        <v/>
      </c>
      <c r="AM1633" s="7" t="str">
        <f aca="true">IF(I1633="","",TODAY()-I1633)</f>
        <v/>
      </c>
      <c r="AN1633" s="7" t="str">
        <f aca="false">IF(A1633="","",IF(AND(E1633&lt;&gt;"33 確認済",E1633&lt;&gt;"36 送付中"),1,0))</f>
        <v/>
      </c>
      <c r="AO1633" s="7" t="str">
        <f aca="false">IF(A1633="","",IF(AG1633&lt;&gt;"",1,0))</f>
        <v/>
      </c>
    </row>
    <row r="1634" customFormat="false" ht="15" hidden="false" customHeight="false" outlineLevel="0" collapsed="false">
      <c r="AL1634" s="7" t="str">
        <f aca="false">IF(A1634="","",IF(COUNTIF(A1634:A$2001,A1634)=1,1,0))</f>
        <v/>
      </c>
      <c r="AM1634" s="7" t="str">
        <f aca="true">IF(I1634="","",TODAY()-I1634)</f>
        <v/>
      </c>
      <c r="AN1634" s="7" t="str">
        <f aca="false">IF(A1634="","",IF(AND(E1634&lt;&gt;"33 確認済",E1634&lt;&gt;"36 送付中"),1,0))</f>
        <v/>
      </c>
      <c r="AO1634" s="7" t="str">
        <f aca="false">IF(A1634="","",IF(AG1634&lt;&gt;"",1,0))</f>
        <v/>
      </c>
    </row>
    <row r="1635" customFormat="false" ht="15" hidden="false" customHeight="false" outlineLevel="0" collapsed="false">
      <c r="AL1635" s="7" t="str">
        <f aca="false">IF(A1635="","",IF(COUNTIF(A1635:A$2001,A1635)=1,1,0))</f>
        <v/>
      </c>
      <c r="AM1635" s="7" t="str">
        <f aca="true">IF(I1635="","",TODAY()-I1635)</f>
        <v/>
      </c>
      <c r="AN1635" s="7" t="str">
        <f aca="false">IF(A1635="","",IF(AND(E1635&lt;&gt;"33 確認済",E1635&lt;&gt;"36 送付中"),1,0))</f>
        <v/>
      </c>
      <c r="AO1635" s="7" t="str">
        <f aca="false">IF(A1635="","",IF(AG1635&lt;&gt;"",1,0))</f>
        <v/>
      </c>
    </row>
    <row r="1636" customFormat="false" ht="15" hidden="false" customHeight="false" outlineLevel="0" collapsed="false">
      <c r="AL1636" s="7" t="str">
        <f aca="false">IF(A1636="","",IF(COUNTIF(A1636:A$2001,A1636)=1,1,0))</f>
        <v/>
      </c>
      <c r="AM1636" s="7" t="str">
        <f aca="true">IF(I1636="","",TODAY()-I1636)</f>
        <v/>
      </c>
      <c r="AN1636" s="7" t="str">
        <f aca="false">IF(A1636="","",IF(AND(E1636&lt;&gt;"33 確認済",E1636&lt;&gt;"36 送付中"),1,0))</f>
        <v/>
      </c>
      <c r="AO1636" s="7" t="str">
        <f aca="false">IF(A1636="","",IF(AG1636&lt;&gt;"",1,0))</f>
        <v/>
      </c>
    </row>
    <row r="1637" customFormat="false" ht="15" hidden="false" customHeight="false" outlineLevel="0" collapsed="false">
      <c r="AL1637" s="7" t="str">
        <f aca="false">IF(A1637="","",IF(COUNTIF(A1637:A$2001,A1637)=1,1,0))</f>
        <v/>
      </c>
      <c r="AM1637" s="7" t="str">
        <f aca="true">IF(I1637="","",TODAY()-I1637)</f>
        <v/>
      </c>
      <c r="AN1637" s="7" t="str">
        <f aca="false">IF(A1637="","",IF(AND(E1637&lt;&gt;"33 確認済",E1637&lt;&gt;"36 送付中"),1,0))</f>
        <v/>
      </c>
      <c r="AO1637" s="7" t="str">
        <f aca="false">IF(A1637="","",IF(AG1637&lt;&gt;"",1,0))</f>
        <v/>
      </c>
    </row>
    <row r="1638" customFormat="false" ht="15" hidden="false" customHeight="false" outlineLevel="0" collapsed="false">
      <c r="AL1638" s="7" t="str">
        <f aca="false">IF(A1638="","",IF(COUNTIF(A1638:A$2001,A1638)=1,1,0))</f>
        <v/>
      </c>
      <c r="AM1638" s="7" t="str">
        <f aca="true">IF(I1638="","",TODAY()-I1638)</f>
        <v/>
      </c>
      <c r="AN1638" s="7" t="str">
        <f aca="false">IF(A1638="","",IF(AND(E1638&lt;&gt;"33 確認済",E1638&lt;&gt;"36 送付中"),1,0))</f>
        <v/>
      </c>
      <c r="AO1638" s="7" t="str">
        <f aca="false">IF(A1638="","",IF(AG1638&lt;&gt;"",1,0))</f>
        <v/>
      </c>
    </row>
    <row r="1639" customFormat="false" ht="15" hidden="false" customHeight="false" outlineLevel="0" collapsed="false">
      <c r="AL1639" s="7" t="str">
        <f aca="false">IF(A1639="","",IF(COUNTIF(A1639:A$2001,A1639)=1,1,0))</f>
        <v/>
      </c>
      <c r="AM1639" s="7" t="str">
        <f aca="true">IF(I1639="","",TODAY()-I1639)</f>
        <v/>
      </c>
      <c r="AN1639" s="7" t="str">
        <f aca="false">IF(A1639="","",IF(AND(E1639&lt;&gt;"33 確認済",E1639&lt;&gt;"36 送付中"),1,0))</f>
        <v/>
      </c>
      <c r="AO1639" s="7" t="str">
        <f aca="false">IF(A1639="","",IF(AG1639&lt;&gt;"",1,0))</f>
        <v/>
      </c>
    </row>
    <row r="1640" customFormat="false" ht="15" hidden="false" customHeight="false" outlineLevel="0" collapsed="false">
      <c r="AL1640" s="7" t="str">
        <f aca="false">IF(A1640="","",IF(COUNTIF(A1640:A$2001,A1640)=1,1,0))</f>
        <v/>
      </c>
      <c r="AM1640" s="7" t="str">
        <f aca="true">IF(I1640="","",TODAY()-I1640)</f>
        <v/>
      </c>
      <c r="AN1640" s="7" t="str">
        <f aca="false">IF(A1640="","",IF(AND(E1640&lt;&gt;"33 確認済",E1640&lt;&gt;"36 送付中"),1,0))</f>
        <v/>
      </c>
      <c r="AO1640" s="7" t="str">
        <f aca="false">IF(A1640="","",IF(AG1640&lt;&gt;"",1,0))</f>
        <v/>
      </c>
    </row>
    <row r="1641" customFormat="false" ht="15" hidden="false" customHeight="false" outlineLevel="0" collapsed="false">
      <c r="AL1641" s="7" t="str">
        <f aca="false">IF(A1641="","",IF(COUNTIF(A1641:A$2001,A1641)=1,1,0))</f>
        <v/>
      </c>
      <c r="AM1641" s="7" t="str">
        <f aca="true">IF(I1641="","",TODAY()-I1641)</f>
        <v/>
      </c>
      <c r="AN1641" s="7" t="str">
        <f aca="false">IF(A1641="","",IF(AND(E1641&lt;&gt;"33 確認済",E1641&lt;&gt;"36 送付中"),1,0))</f>
        <v/>
      </c>
      <c r="AO1641" s="7" t="str">
        <f aca="false">IF(A1641="","",IF(AG1641&lt;&gt;"",1,0))</f>
        <v/>
      </c>
    </row>
    <row r="1642" customFormat="false" ht="15" hidden="false" customHeight="false" outlineLevel="0" collapsed="false">
      <c r="AL1642" s="7" t="str">
        <f aca="false">IF(A1642="","",IF(COUNTIF(A1642:A$2001,A1642)=1,1,0))</f>
        <v/>
      </c>
      <c r="AM1642" s="7" t="str">
        <f aca="true">IF(I1642="","",TODAY()-I1642)</f>
        <v/>
      </c>
      <c r="AN1642" s="7" t="str">
        <f aca="false">IF(A1642="","",IF(AND(E1642&lt;&gt;"33 確認済",E1642&lt;&gt;"36 送付中"),1,0))</f>
        <v/>
      </c>
      <c r="AO1642" s="7" t="str">
        <f aca="false">IF(A1642="","",IF(AG1642&lt;&gt;"",1,0))</f>
        <v/>
      </c>
    </row>
    <row r="1643" customFormat="false" ht="15" hidden="false" customHeight="false" outlineLevel="0" collapsed="false">
      <c r="AL1643" s="7" t="str">
        <f aca="false">IF(A1643="","",IF(COUNTIF(A1643:A$2001,A1643)=1,1,0))</f>
        <v/>
      </c>
      <c r="AM1643" s="7" t="str">
        <f aca="true">IF(I1643="","",TODAY()-I1643)</f>
        <v/>
      </c>
      <c r="AN1643" s="7" t="str">
        <f aca="false">IF(A1643="","",IF(AND(E1643&lt;&gt;"33 確認済",E1643&lt;&gt;"36 送付中"),1,0))</f>
        <v/>
      </c>
      <c r="AO1643" s="7" t="str">
        <f aca="false">IF(A1643="","",IF(AG1643&lt;&gt;"",1,0))</f>
        <v/>
      </c>
    </row>
    <row r="1644" customFormat="false" ht="15" hidden="false" customHeight="false" outlineLevel="0" collapsed="false">
      <c r="AL1644" s="7" t="str">
        <f aca="false">IF(A1644="","",IF(COUNTIF(A1644:A$2001,A1644)=1,1,0))</f>
        <v/>
      </c>
      <c r="AM1644" s="7" t="str">
        <f aca="true">IF(I1644="","",TODAY()-I1644)</f>
        <v/>
      </c>
      <c r="AN1644" s="7" t="str">
        <f aca="false">IF(A1644="","",IF(AND(E1644&lt;&gt;"33 確認済",E1644&lt;&gt;"36 送付中"),1,0))</f>
        <v/>
      </c>
      <c r="AO1644" s="7" t="str">
        <f aca="false">IF(A1644="","",IF(AG1644&lt;&gt;"",1,0))</f>
        <v/>
      </c>
    </row>
    <row r="1645" customFormat="false" ht="15" hidden="false" customHeight="false" outlineLevel="0" collapsed="false">
      <c r="AL1645" s="7" t="str">
        <f aca="false">IF(A1645="","",IF(COUNTIF(A1645:A$2001,A1645)=1,1,0))</f>
        <v/>
      </c>
      <c r="AM1645" s="7" t="str">
        <f aca="true">IF(I1645="","",TODAY()-I1645)</f>
        <v/>
      </c>
      <c r="AN1645" s="7" t="str">
        <f aca="false">IF(A1645="","",IF(AND(E1645&lt;&gt;"33 確認済",E1645&lt;&gt;"36 送付中"),1,0))</f>
        <v/>
      </c>
      <c r="AO1645" s="7" t="str">
        <f aca="false">IF(A1645="","",IF(AG1645&lt;&gt;"",1,0))</f>
        <v/>
      </c>
    </row>
    <row r="1646" customFormat="false" ht="15" hidden="false" customHeight="false" outlineLevel="0" collapsed="false">
      <c r="AL1646" s="7" t="str">
        <f aca="false">IF(A1646="","",IF(COUNTIF(A1646:A$2001,A1646)=1,1,0))</f>
        <v/>
      </c>
      <c r="AM1646" s="7" t="str">
        <f aca="true">IF(I1646="","",TODAY()-I1646)</f>
        <v/>
      </c>
      <c r="AN1646" s="7" t="str">
        <f aca="false">IF(A1646="","",IF(AND(E1646&lt;&gt;"33 確認済",E1646&lt;&gt;"36 送付中"),1,0))</f>
        <v/>
      </c>
      <c r="AO1646" s="7" t="str">
        <f aca="false">IF(A1646="","",IF(AG1646&lt;&gt;"",1,0))</f>
        <v/>
      </c>
    </row>
    <row r="1647" customFormat="false" ht="15" hidden="false" customHeight="false" outlineLevel="0" collapsed="false">
      <c r="AL1647" s="7" t="str">
        <f aca="false">IF(A1647="","",IF(COUNTIF(A1647:A$2001,A1647)=1,1,0))</f>
        <v/>
      </c>
      <c r="AM1647" s="7" t="str">
        <f aca="true">IF(I1647="","",TODAY()-I1647)</f>
        <v/>
      </c>
      <c r="AN1647" s="7" t="str">
        <f aca="false">IF(A1647="","",IF(AND(E1647&lt;&gt;"33 確認済",E1647&lt;&gt;"36 送付中"),1,0))</f>
        <v/>
      </c>
      <c r="AO1647" s="7" t="str">
        <f aca="false">IF(A1647="","",IF(AG1647&lt;&gt;"",1,0))</f>
        <v/>
      </c>
    </row>
    <row r="1648" customFormat="false" ht="15" hidden="false" customHeight="false" outlineLevel="0" collapsed="false">
      <c r="AL1648" s="7" t="str">
        <f aca="false">IF(A1648="","",IF(COUNTIF(A1648:A$2001,A1648)=1,1,0))</f>
        <v/>
      </c>
      <c r="AM1648" s="7" t="str">
        <f aca="true">IF(I1648="","",TODAY()-I1648)</f>
        <v/>
      </c>
      <c r="AN1648" s="7" t="str">
        <f aca="false">IF(A1648="","",IF(AND(E1648&lt;&gt;"33 確認済",E1648&lt;&gt;"36 送付中"),1,0))</f>
        <v/>
      </c>
      <c r="AO1648" s="7" t="str">
        <f aca="false">IF(A1648="","",IF(AG1648&lt;&gt;"",1,0))</f>
        <v/>
      </c>
    </row>
    <row r="1649" customFormat="false" ht="15" hidden="false" customHeight="false" outlineLevel="0" collapsed="false">
      <c r="AL1649" s="7" t="str">
        <f aca="false">IF(A1649="","",IF(COUNTIF(A1649:A$2001,A1649)=1,1,0))</f>
        <v/>
      </c>
      <c r="AM1649" s="7" t="str">
        <f aca="true">IF(I1649="","",TODAY()-I1649)</f>
        <v/>
      </c>
      <c r="AN1649" s="7" t="str">
        <f aca="false">IF(A1649="","",IF(AND(E1649&lt;&gt;"33 確認済",E1649&lt;&gt;"36 送付中"),1,0))</f>
        <v/>
      </c>
      <c r="AO1649" s="7" t="str">
        <f aca="false">IF(A1649="","",IF(AG1649&lt;&gt;"",1,0))</f>
        <v/>
      </c>
    </row>
    <row r="1650" customFormat="false" ht="15" hidden="false" customHeight="false" outlineLevel="0" collapsed="false">
      <c r="AL1650" s="7" t="str">
        <f aca="false">IF(A1650="","",IF(COUNTIF(A1650:A$2001,A1650)=1,1,0))</f>
        <v/>
      </c>
      <c r="AM1650" s="7" t="str">
        <f aca="true">IF(I1650="","",TODAY()-I1650)</f>
        <v/>
      </c>
      <c r="AN1650" s="7" t="str">
        <f aca="false">IF(A1650="","",IF(AND(E1650&lt;&gt;"33 確認済",E1650&lt;&gt;"36 送付中"),1,0))</f>
        <v/>
      </c>
      <c r="AO1650" s="7" t="str">
        <f aca="false">IF(A1650="","",IF(AG1650&lt;&gt;"",1,0))</f>
        <v/>
      </c>
    </row>
    <row r="1651" customFormat="false" ht="15" hidden="false" customHeight="false" outlineLevel="0" collapsed="false">
      <c r="AL1651" s="7" t="str">
        <f aca="false">IF(A1651="","",IF(COUNTIF(A1651:A$2001,A1651)=1,1,0))</f>
        <v/>
      </c>
      <c r="AM1651" s="7" t="str">
        <f aca="true">IF(I1651="","",TODAY()-I1651)</f>
        <v/>
      </c>
      <c r="AN1651" s="7" t="str">
        <f aca="false">IF(A1651="","",IF(AND(E1651&lt;&gt;"33 確認済",E1651&lt;&gt;"36 送付中"),1,0))</f>
        <v/>
      </c>
      <c r="AO1651" s="7" t="str">
        <f aca="false">IF(A1651="","",IF(AG1651&lt;&gt;"",1,0))</f>
        <v/>
      </c>
    </row>
    <row r="1652" customFormat="false" ht="15" hidden="false" customHeight="false" outlineLevel="0" collapsed="false">
      <c r="AL1652" s="7" t="str">
        <f aca="false">IF(A1652="","",IF(COUNTIF(A1652:A$2001,A1652)=1,1,0))</f>
        <v/>
      </c>
      <c r="AM1652" s="7" t="str">
        <f aca="true">IF(I1652="","",TODAY()-I1652)</f>
        <v/>
      </c>
      <c r="AN1652" s="7" t="str">
        <f aca="false">IF(A1652="","",IF(AND(E1652&lt;&gt;"33 確認済",E1652&lt;&gt;"36 送付中"),1,0))</f>
        <v/>
      </c>
      <c r="AO1652" s="7" t="str">
        <f aca="false">IF(A1652="","",IF(AG1652&lt;&gt;"",1,0))</f>
        <v/>
      </c>
    </row>
    <row r="1653" customFormat="false" ht="15" hidden="false" customHeight="false" outlineLevel="0" collapsed="false">
      <c r="AL1653" s="7" t="str">
        <f aca="false">IF(A1653="","",IF(COUNTIF(A1653:A$2001,A1653)=1,1,0))</f>
        <v/>
      </c>
      <c r="AM1653" s="7" t="str">
        <f aca="true">IF(I1653="","",TODAY()-I1653)</f>
        <v/>
      </c>
      <c r="AN1653" s="7" t="str">
        <f aca="false">IF(A1653="","",IF(AND(E1653&lt;&gt;"33 確認済",E1653&lt;&gt;"36 送付中"),1,0))</f>
        <v/>
      </c>
      <c r="AO1653" s="7" t="str">
        <f aca="false">IF(A1653="","",IF(AG1653&lt;&gt;"",1,0))</f>
        <v/>
      </c>
    </row>
    <row r="1654" customFormat="false" ht="15" hidden="false" customHeight="false" outlineLevel="0" collapsed="false">
      <c r="AL1654" s="7" t="str">
        <f aca="false">IF(A1654="","",IF(COUNTIF(A1654:A$2001,A1654)=1,1,0))</f>
        <v/>
      </c>
      <c r="AM1654" s="7" t="str">
        <f aca="true">IF(I1654="","",TODAY()-I1654)</f>
        <v/>
      </c>
      <c r="AN1654" s="7" t="str">
        <f aca="false">IF(A1654="","",IF(AND(E1654&lt;&gt;"33 確認済",E1654&lt;&gt;"36 送付中"),1,0))</f>
        <v/>
      </c>
      <c r="AO1654" s="7" t="str">
        <f aca="false">IF(A1654="","",IF(AG1654&lt;&gt;"",1,0))</f>
        <v/>
      </c>
    </row>
    <row r="1655" customFormat="false" ht="15" hidden="false" customHeight="false" outlineLevel="0" collapsed="false">
      <c r="AL1655" s="7" t="str">
        <f aca="false">IF(A1655="","",IF(COUNTIF(A1655:A$2001,A1655)=1,1,0))</f>
        <v/>
      </c>
      <c r="AM1655" s="7" t="str">
        <f aca="true">IF(I1655="","",TODAY()-I1655)</f>
        <v/>
      </c>
      <c r="AN1655" s="7" t="str">
        <f aca="false">IF(A1655="","",IF(AND(E1655&lt;&gt;"33 確認済",E1655&lt;&gt;"36 送付中"),1,0))</f>
        <v/>
      </c>
      <c r="AO1655" s="7" t="str">
        <f aca="false">IF(A1655="","",IF(AG1655&lt;&gt;"",1,0))</f>
        <v/>
      </c>
    </row>
    <row r="1656" customFormat="false" ht="15" hidden="false" customHeight="false" outlineLevel="0" collapsed="false">
      <c r="AL1656" s="7" t="str">
        <f aca="false">IF(A1656="","",IF(COUNTIF(A1656:A$2001,A1656)=1,1,0))</f>
        <v/>
      </c>
      <c r="AM1656" s="7" t="str">
        <f aca="true">IF(I1656="","",TODAY()-I1656)</f>
        <v/>
      </c>
      <c r="AN1656" s="7" t="str">
        <f aca="false">IF(A1656="","",IF(AND(E1656&lt;&gt;"33 確認済",E1656&lt;&gt;"36 送付中"),1,0))</f>
        <v/>
      </c>
      <c r="AO1656" s="7" t="str">
        <f aca="false">IF(A1656="","",IF(AG1656&lt;&gt;"",1,0))</f>
        <v/>
      </c>
    </row>
    <row r="1657" customFormat="false" ht="15" hidden="false" customHeight="false" outlineLevel="0" collapsed="false">
      <c r="AL1657" s="7" t="str">
        <f aca="false">IF(A1657="","",IF(COUNTIF(A1657:A$2001,A1657)=1,1,0))</f>
        <v/>
      </c>
      <c r="AM1657" s="7" t="str">
        <f aca="true">IF(I1657="","",TODAY()-I1657)</f>
        <v/>
      </c>
      <c r="AN1657" s="7" t="str">
        <f aca="false">IF(A1657="","",IF(AND(E1657&lt;&gt;"33 確認済",E1657&lt;&gt;"36 送付中"),1,0))</f>
        <v/>
      </c>
      <c r="AO1657" s="7" t="str">
        <f aca="false">IF(A1657="","",IF(AG1657&lt;&gt;"",1,0))</f>
        <v/>
      </c>
    </row>
    <row r="1658" customFormat="false" ht="15" hidden="false" customHeight="false" outlineLevel="0" collapsed="false">
      <c r="AL1658" s="7" t="str">
        <f aca="false">IF(A1658="","",IF(COUNTIF(A1658:A$2001,A1658)=1,1,0))</f>
        <v/>
      </c>
      <c r="AM1658" s="7" t="str">
        <f aca="true">IF(I1658="","",TODAY()-I1658)</f>
        <v/>
      </c>
      <c r="AN1658" s="7" t="str">
        <f aca="false">IF(A1658="","",IF(AND(E1658&lt;&gt;"33 確認済",E1658&lt;&gt;"36 送付中"),1,0))</f>
        <v/>
      </c>
      <c r="AO1658" s="7" t="str">
        <f aca="false">IF(A1658="","",IF(AG1658&lt;&gt;"",1,0))</f>
        <v/>
      </c>
    </row>
    <row r="1659" customFormat="false" ht="15" hidden="false" customHeight="false" outlineLevel="0" collapsed="false">
      <c r="AL1659" s="7" t="str">
        <f aca="false">IF(A1659="","",IF(COUNTIF(A1659:A$2001,A1659)=1,1,0))</f>
        <v/>
      </c>
      <c r="AM1659" s="7" t="str">
        <f aca="true">IF(I1659="","",TODAY()-I1659)</f>
        <v/>
      </c>
      <c r="AN1659" s="7" t="str">
        <f aca="false">IF(A1659="","",IF(AND(E1659&lt;&gt;"33 確認済",E1659&lt;&gt;"36 送付中"),1,0))</f>
        <v/>
      </c>
      <c r="AO1659" s="7" t="str">
        <f aca="false">IF(A1659="","",IF(AG1659&lt;&gt;"",1,0))</f>
        <v/>
      </c>
    </row>
    <row r="1660" customFormat="false" ht="15" hidden="false" customHeight="false" outlineLevel="0" collapsed="false">
      <c r="AL1660" s="7" t="str">
        <f aca="false">IF(A1660="","",IF(COUNTIF(A1660:A$2001,A1660)=1,1,0))</f>
        <v/>
      </c>
      <c r="AM1660" s="7" t="str">
        <f aca="true">IF(I1660="","",TODAY()-I1660)</f>
        <v/>
      </c>
      <c r="AN1660" s="7" t="str">
        <f aca="false">IF(A1660="","",IF(AND(E1660&lt;&gt;"33 確認済",E1660&lt;&gt;"36 送付中"),1,0))</f>
        <v/>
      </c>
      <c r="AO1660" s="7" t="str">
        <f aca="false">IF(A1660="","",IF(AG1660&lt;&gt;"",1,0))</f>
        <v/>
      </c>
    </row>
    <row r="1661" customFormat="false" ht="15" hidden="false" customHeight="false" outlineLevel="0" collapsed="false">
      <c r="AL1661" s="7" t="str">
        <f aca="false">IF(A1661="","",IF(COUNTIF(A1661:A$2001,A1661)=1,1,0))</f>
        <v/>
      </c>
      <c r="AM1661" s="7" t="str">
        <f aca="true">IF(I1661="","",TODAY()-I1661)</f>
        <v/>
      </c>
      <c r="AN1661" s="7" t="str">
        <f aca="false">IF(A1661="","",IF(AND(E1661&lt;&gt;"33 確認済",E1661&lt;&gt;"36 送付中"),1,0))</f>
        <v/>
      </c>
      <c r="AO1661" s="7" t="str">
        <f aca="false">IF(A1661="","",IF(AG1661&lt;&gt;"",1,0))</f>
        <v/>
      </c>
    </row>
    <row r="1662" customFormat="false" ht="15" hidden="false" customHeight="false" outlineLevel="0" collapsed="false">
      <c r="AL1662" s="7" t="str">
        <f aca="false">IF(A1662="","",IF(COUNTIF(A1662:A$2001,A1662)=1,1,0))</f>
        <v/>
      </c>
      <c r="AM1662" s="7" t="str">
        <f aca="true">IF(I1662="","",TODAY()-I1662)</f>
        <v/>
      </c>
      <c r="AN1662" s="7" t="str">
        <f aca="false">IF(A1662="","",IF(AND(E1662&lt;&gt;"33 確認済",E1662&lt;&gt;"36 送付中"),1,0))</f>
        <v/>
      </c>
      <c r="AO1662" s="7" t="str">
        <f aca="false">IF(A1662="","",IF(AG1662&lt;&gt;"",1,0))</f>
        <v/>
      </c>
    </row>
    <row r="1663" customFormat="false" ht="15" hidden="false" customHeight="false" outlineLevel="0" collapsed="false">
      <c r="AL1663" s="7" t="str">
        <f aca="false">IF(A1663="","",IF(COUNTIF(A1663:A$2001,A1663)=1,1,0))</f>
        <v/>
      </c>
      <c r="AM1663" s="7" t="str">
        <f aca="true">IF(I1663="","",TODAY()-I1663)</f>
        <v/>
      </c>
      <c r="AN1663" s="7" t="str">
        <f aca="false">IF(A1663="","",IF(AND(E1663&lt;&gt;"33 確認済",E1663&lt;&gt;"36 送付中"),1,0))</f>
        <v/>
      </c>
      <c r="AO1663" s="7" t="str">
        <f aca="false">IF(A1663="","",IF(AG1663&lt;&gt;"",1,0))</f>
        <v/>
      </c>
    </row>
    <row r="1664" customFormat="false" ht="15" hidden="false" customHeight="false" outlineLevel="0" collapsed="false">
      <c r="AL1664" s="7" t="str">
        <f aca="false">IF(A1664="","",IF(COUNTIF(A1664:A$2001,A1664)=1,1,0))</f>
        <v/>
      </c>
      <c r="AM1664" s="7" t="str">
        <f aca="true">IF(I1664="","",TODAY()-I1664)</f>
        <v/>
      </c>
      <c r="AN1664" s="7" t="str">
        <f aca="false">IF(A1664="","",IF(AND(E1664&lt;&gt;"33 確認済",E1664&lt;&gt;"36 送付中"),1,0))</f>
        <v/>
      </c>
      <c r="AO1664" s="7" t="str">
        <f aca="false">IF(A1664="","",IF(AG1664&lt;&gt;"",1,0))</f>
        <v/>
      </c>
    </row>
    <row r="1665" customFormat="false" ht="15" hidden="false" customHeight="false" outlineLevel="0" collapsed="false">
      <c r="AL1665" s="7" t="str">
        <f aca="false">IF(A1665="","",IF(COUNTIF(A1665:A$2001,A1665)=1,1,0))</f>
        <v/>
      </c>
      <c r="AM1665" s="7" t="str">
        <f aca="true">IF(I1665="","",TODAY()-I1665)</f>
        <v/>
      </c>
      <c r="AN1665" s="7" t="str">
        <f aca="false">IF(A1665="","",IF(AND(E1665&lt;&gt;"33 確認済",E1665&lt;&gt;"36 送付中"),1,0))</f>
        <v/>
      </c>
      <c r="AO1665" s="7" t="str">
        <f aca="false">IF(A1665="","",IF(AG1665&lt;&gt;"",1,0))</f>
        <v/>
      </c>
    </row>
    <row r="1666" customFormat="false" ht="15" hidden="false" customHeight="false" outlineLevel="0" collapsed="false">
      <c r="AL1666" s="7" t="str">
        <f aca="false">IF(A1666="","",IF(COUNTIF(A1666:A$2001,A1666)=1,1,0))</f>
        <v/>
      </c>
      <c r="AM1666" s="7" t="str">
        <f aca="true">IF(I1666="","",TODAY()-I1666)</f>
        <v/>
      </c>
      <c r="AN1666" s="7" t="str">
        <f aca="false">IF(A1666="","",IF(AND(E1666&lt;&gt;"33 確認済",E1666&lt;&gt;"36 送付中"),1,0))</f>
        <v/>
      </c>
      <c r="AO1666" s="7" t="str">
        <f aca="false">IF(A1666="","",IF(AG1666&lt;&gt;"",1,0))</f>
        <v/>
      </c>
    </row>
    <row r="1667" customFormat="false" ht="15" hidden="false" customHeight="false" outlineLevel="0" collapsed="false">
      <c r="AL1667" s="7" t="str">
        <f aca="false">IF(A1667="","",IF(COUNTIF(A1667:A$2001,A1667)=1,1,0))</f>
        <v/>
      </c>
      <c r="AM1667" s="7" t="str">
        <f aca="true">IF(I1667="","",TODAY()-I1667)</f>
        <v/>
      </c>
      <c r="AN1667" s="7" t="str">
        <f aca="false">IF(A1667="","",IF(AND(E1667&lt;&gt;"33 確認済",E1667&lt;&gt;"36 送付中"),1,0))</f>
        <v/>
      </c>
      <c r="AO1667" s="7" t="str">
        <f aca="false">IF(A1667="","",IF(AG1667&lt;&gt;"",1,0))</f>
        <v/>
      </c>
    </row>
    <row r="1668" customFormat="false" ht="15" hidden="false" customHeight="false" outlineLevel="0" collapsed="false">
      <c r="AL1668" s="7" t="str">
        <f aca="false">IF(A1668="","",IF(COUNTIF(A1668:A$2001,A1668)=1,1,0))</f>
        <v/>
      </c>
      <c r="AM1668" s="7" t="str">
        <f aca="true">IF(I1668="","",TODAY()-I1668)</f>
        <v/>
      </c>
      <c r="AN1668" s="7" t="str">
        <f aca="false">IF(A1668="","",IF(AND(E1668&lt;&gt;"33 確認済",E1668&lt;&gt;"36 送付中"),1,0))</f>
        <v/>
      </c>
      <c r="AO1668" s="7" t="str">
        <f aca="false">IF(A1668="","",IF(AG1668&lt;&gt;"",1,0))</f>
        <v/>
      </c>
    </row>
    <row r="1669" customFormat="false" ht="15" hidden="false" customHeight="false" outlineLevel="0" collapsed="false">
      <c r="AL1669" s="7" t="str">
        <f aca="false">IF(A1669="","",IF(COUNTIF(A1669:A$2001,A1669)=1,1,0))</f>
        <v/>
      </c>
      <c r="AM1669" s="7" t="str">
        <f aca="true">IF(I1669="","",TODAY()-I1669)</f>
        <v/>
      </c>
      <c r="AN1669" s="7" t="str">
        <f aca="false">IF(A1669="","",IF(AND(E1669&lt;&gt;"33 確認済",E1669&lt;&gt;"36 送付中"),1,0))</f>
        <v/>
      </c>
      <c r="AO1669" s="7" t="str">
        <f aca="false">IF(A1669="","",IF(AG1669&lt;&gt;"",1,0))</f>
        <v/>
      </c>
    </row>
    <row r="1670" customFormat="false" ht="15" hidden="false" customHeight="false" outlineLevel="0" collapsed="false">
      <c r="AL1670" s="7" t="str">
        <f aca="false">IF(A1670="","",IF(COUNTIF(A1670:A$2001,A1670)=1,1,0))</f>
        <v/>
      </c>
      <c r="AM1670" s="7" t="str">
        <f aca="true">IF(I1670="","",TODAY()-I1670)</f>
        <v/>
      </c>
      <c r="AN1670" s="7" t="str">
        <f aca="false">IF(A1670="","",IF(AND(E1670&lt;&gt;"33 確認済",E1670&lt;&gt;"36 送付中"),1,0))</f>
        <v/>
      </c>
      <c r="AO1670" s="7" t="str">
        <f aca="false">IF(A1670="","",IF(AG1670&lt;&gt;"",1,0))</f>
        <v/>
      </c>
    </row>
    <row r="1671" customFormat="false" ht="15" hidden="false" customHeight="false" outlineLevel="0" collapsed="false">
      <c r="AL1671" s="7" t="str">
        <f aca="false">IF(A1671="","",IF(COUNTIF(A1671:A$2001,A1671)=1,1,0))</f>
        <v/>
      </c>
      <c r="AM1671" s="7" t="str">
        <f aca="true">IF(I1671="","",TODAY()-I1671)</f>
        <v/>
      </c>
      <c r="AN1671" s="7" t="str">
        <f aca="false">IF(A1671="","",IF(AND(E1671&lt;&gt;"33 確認済",E1671&lt;&gt;"36 送付中"),1,0))</f>
        <v/>
      </c>
      <c r="AO1671" s="7" t="str">
        <f aca="false">IF(A1671="","",IF(AG1671&lt;&gt;"",1,0))</f>
        <v/>
      </c>
    </row>
    <row r="1672" customFormat="false" ht="15" hidden="false" customHeight="false" outlineLevel="0" collapsed="false">
      <c r="AL1672" s="7" t="str">
        <f aca="false">IF(A1672="","",IF(COUNTIF(A1672:A$2001,A1672)=1,1,0))</f>
        <v/>
      </c>
      <c r="AM1672" s="7" t="str">
        <f aca="true">IF(I1672="","",TODAY()-I1672)</f>
        <v/>
      </c>
      <c r="AN1672" s="7" t="str">
        <f aca="false">IF(A1672="","",IF(AND(E1672&lt;&gt;"33 確認済",E1672&lt;&gt;"36 送付中"),1,0))</f>
        <v/>
      </c>
      <c r="AO1672" s="7" t="str">
        <f aca="false">IF(A1672="","",IF(AG1672&lt;&gt;"",1,0))</f>
        <v/>
      </c>
    </row>
    <row r="1673" customFormat="false" ht="15" hidden="false" customHeight="false" outlineLevel="0" collapsed="false">
      <c r="AL1673" s="7" t="str">
        <f aca="false">IF(A1673="","",IF(COUNTIF(A1673:A$2001,A1673)=1,1,0))</f>
        <v/>
      </c>
      <c r="AM1673" s="7" t="str">
        <f aca="true">IF(I1673="","",TODAY()-I1673)</f>
        <v/>
      </c>
      <c r="AN1673" s="7" t="str">
        <f aca="false">IF(A1673="","",IF(AND(E1673&lt;&gt;"33 確認済",E1673&lt;&gt;"36 送付中"),1,0))</f>
        <v/>
      </c>
      <c r="AO1673" s="7" t="str">
        <f aca="false">IF(A1673="","",IF(AG1673&lt;&gt;"",1,0))</f>
        <v/>
      </c>
    </row>
    <row r="1674" customFormat="false" ht="15" hidden="false" customHeight="false" outlineLevel="0" collapsed="false">
      <c r="AL1674" s="7" t="str">
        <f aca="false">IF(A1674="","",IF(COUNTIF(A1674:A$2001,A1674)=1,1,0))</f>
        <v/>
      </c>
      <c r="AM1674" s="7" t="str">
        <f aca="true">IF(I1674="","",TODAY()-I1674)</f>
        <v/>
      </c>
      <c r="AN1674" s="7" t="str">
        <f aca="false">IF(A1674="","",IF(AND(E1674&lt;&gt;"33 確認済",E1674&lt;&gt;"36 送付中"),1,0))</f>
        <v/>
      </c>
      <c r="AO1674" s="7" t="str">
        <f aca="false">IF(A1674="","",IF(AG1674&lt;&gt;"",1,0))</f>
        <v/>
      </c>
    </row>
    <row r="1675" customFormat="false" ht="15" hidden="false" customHeight="false" outlineLevel="0" collapsed="false">
      <c r="AL1675" s="7" t="str">
        <f aca="false">IF(A1675="","",IF(COUNTIF(A1675:A$2001,A1675)=1,1,0))</f>
        <v/>
      </c>
      <c r="AM1675" s="7" t="str">
        <f aca="true">IF(I1675="","",TODAY()-I1675)</f>
        <v/>
      </c>
      <c r="AN1675" s="7" t="str">
        <f aca="false">IF(A1675="","",IF(AND(E1675&lt;&gt;"33 確認済",E1675&lt;&gt;"36 送付中"),1,0))</f>
        <v/>
      </c>
      <c r="AO1675" s="7" t="str">
        <f aca="false">IF(A1675="","",IF(AG1675&lt;&gt;"",1,0))</f>
        <v/>
      </c>
    </row>
    <row r="1676" customFormat="false" ht="15" hidden="false" customHeight="false" outlineLevel="0" collapsed="false">
      <c r="AL1676" s="7" t="str">
        <f aca="false">IF(A1676="","",IF(COUNTIF(A1676:A$2001,A1676)=1,1,0))</f>
        <v/>
      </c>
      <c r="AM1676" s="7" t="str">
        <f aca="true">IF(I1676="","",TODAY()-I1676)</f>
        <v/>
      </c>
      <c r="AN1676" s="7" t="str">
        <f aca="false">IF(A1676="","",IF(AND(E1676&lt;&gt;"33 確認済",E1676&lt;&gt;"36 送付中"),1,0))</f>
        <v/>
      </c>
      <c r="AO1676" s="7" t="str">
        <f aca="false">IF(A1676="","",IF(AG1676&lt;&gt;"",1,0))</f>
        <v/>
      </c>
    </row>
    <row r="1677" customFormat="false" ht="15" hidden="false" customHeight="false" outlineLevel="0" collapsed="false">
      <c r="AL1677" s="7" t="str">
        <f aca="false">IF(A1677="","",IF(COUNTIF(A1677:A$2001,A1677)=1,1,0))</f>
        <v/>
      </c>
      <c r="AM1677" s="7" t="str">
        <f aca="true">IF(I1677="","",TODAY()-I1677)</f>
        <v/>
      </c>
      <c r="AN1677" s="7" t="str">
        <f aca="false">IF(A1677="","",IF(AND(E1677&lt;&gt;"33 確認済",E1677&lt;&gt;"36 送付中"),1,0))</f>
        <v/>
      </c>
      <c r="AO1677" s="7" t="str">
        <f aca="false">IF(A1677="","",IF(AG1677&lt;&gt;"",1,0))</f>
        <v/>
      </c>
    </row>
    <row r="1678" customFormat="false" ht="15" hidden="false" customHeight="false" outlineLevel="0" collapsed="false">
      <c r="AL1678" s="7" t="str">
        <f aca="false">IF(A1678="","",IF(COUNTIF(A1678:A$2001,A1678)=1,1,0))</f>
        <v/>
      </c>
      <c r="AM1678" s="7" t="str">
        <f aca="true">IF(I1678="","",TODAY()-I1678)</f>
        <v/>
      </c>
      <c r="AN1678" s="7" t="str">
        <f aca="false">IF(A1678="","",IF(AND(E1678&lt;&gt;"33 確認済",E1678&lt;&gt;"36 送付中"),1,0))</f>
        <v/>
      </c>
      <c r="AO1678" s="7" t="str">
        <f aca="false">IF(A1678="","",IF(AG1678&lt;&gt;"",1,0))</f>
        <v/>
      </c>
    </row>
    <row r="1679" customFormat="false" ht="15" hidden="false" customHeight="false" outlineLevel="0" collapsed="false">
      <c r="AL1679" s="7" t="str">
        <f aca="false">IF(A1679="","",IF(COUNTIF(A1679:A$2001,A1679)=1,1,0))</f>
        <v/>
      </c>
      <c r="AM1679" s="7" t="str">
        <f aca="true">IF(I1679="","",TODAY()-I1679)</f>
        <v/>
      </c>
      <c r="AN1679" s="7" t="str">
        <f aca="false">IF(A1679="","",IF(AND(E1679&lt;&gt;"33 確認済",E1679&lt;&gt;"36 送付中"),1,0))</f>
        <v/>
      </c>
      <c r="AO1679" s="7" t="str">
        <f aca="false">IF(A1679="","",IF(AG1679&lt;&gt;"",1,0))</f>
        <v/>
      </c>
    </row>
    <row r="1680" customFormat="false" ht="15" hidden="false" customHeight="false" outlineLevel="0" collapsed="false">
      <c r="AL1680" s="7" t="str">
        <f aca="false">IF(A1680="","",IF(COUNTIF(A1680:A$2001,A1680)=1,1,0))</f>
        <v/>
      </c>
      <c r="AM1680" s="7" t="str">
        <f aca="true">IF(I1680="","",TODAY()-I1680)</f>
        <v/>
      </c>
      <c r="AN1680" s="7" t="str">
        <f aca="false">IF(A1680="","",IF(AND(E1680&lt;&gt;"33 確認済",E1680&lt;&gt;"36 送付中"),1,0))</f>
        <v/>
      </c>
      <c r="AO1680" s="7" t="str">
        <f aca="false">IF(A1680="","",IF(AG1680&lt;&gt;"",1,0))</f>
        <v/>
      </c>
    </row>
    <row r="1681" customFormat="false" ht="15" hidden="false" customHeight="false" outlineLevel="0" collapsed="false">
      <c r="AL1681" s="7" t="str">
        <f aca="false">IF(A1681="","",IF(COUNTIF(A1681:A$2001,A1681)=1,1,0))</f>
        <v/>
      </c>
      <c r="AM1681" s="7" t="str">
        <f aca="true">IF(I1681="","",TODAY()-I1681)</f>
        <v/>
      </c>
      <c r="AN1681" s="7" t="str">
        <f aca="false">IF(A1681="","",IF(AND(E1681&lt;&gt;"33 確認済",E1681&lt;&gt;"36 送付中"),1,0))</f>
        <v/>
      </c>
      <c r="AO1681" s="7" t="str">
        <f aca="false">IF(A1681="","",IF(AG1681&lt;&gt;"",1,0))</f>
        <v/>
      </c>
    </row>
    <row r="1682" customFormat="false" ht="15" hidden="false" customHeight="false" outlineLevel="0" collapsed="false">
      <c r="AL1682" s="7" t="str">
        <f aca="false">IF(A1682="","",IF(COUNTIF(A1682:A$2001,A1682)=1,1,0))</f>
        <v/>
      </c>
      <c r="AM1682" s="7" t="str">
        <f aca="true">IF(I1682="","",TODAY()-I1682)</f>
        <v/>
      </c>
      <c r="AN1682" s="7" t="str">
        <f aca="false">IF(A1682="","",IF(AND(E1682&lt;&gt;"33 確認済",E1682&lt;&gt;"36 送付中"),1,0))</f>
        <v/>
      </c>
      <c r="AO1682" s="7" t="str">
        <f aca="false">IF(A1682="","",IF(AG1682&lt;&gt;"",1,0))</f>
        <v/>
      </c>
    </row>
    <row r="1683" customFormat="false" ht="15" hidden="false" customHeight="false" outlineLevel="0" collapsed="false">
      <c r="AL1683" s="7" t="str">
        <f aca="false">IF(A1683="","",IF(COUNTIF(A1683:A$2001,A1683)=1,1,0))</f>
        <v/>
      </c>
      <c r="AM1683" s="7" t="str">
        <f aca="true">IF(I1683="","",TODAY()-I1683)</f>
        <v/>
      </c>
      <c r="AN1683" s="7" t="str">
        <f aca="false">IF(A1683="","",IF(AND(E1683&lt;&gt;"33 確認済",E1683&lt;&gt;"36 送付中"),1,0))</f>
        <v/>
      </c>
      <c r="AO1683" s="7" t="str">
        <f aca="false">IF(A1683="","",IF(AG1683&lt;&gt;"",1,0))</f>
        <v/>
      </c>
    </row>
    <row r="1684" customFormat="false" ht="15" hidden="false" customHeight="false" outlineLevel="0" collapsed="false">
      <c r="AL1684" s="7" t="str">
        <f aca="false">IF(A1684="","",IF(COUNTIF(A1684:A$2001,A1684)=1,1,0))</f>
        <v/>
      </c>
      <c r="AM1684" s="7" t="str">
        <f aca="true">IF(I1684="","",TODAY()-I1684)</f>
        <v/>
      </c>
      <c r="AN1684" s="7" t="str">
        <f aca="false">IF(A1684="","",IF(AND(E1684&lt;&gt;"33 確認済",E1684&lt;&gt;"36 送付中"),1,0))</f>
        <v/>
      </c>
      <c r="AO1684" s="7" t="str">
        <f aca="false">IF(A1684="","",IF(AG1684&lt;&gt;"",1,0))</f>
        <v/>
      </c>
    </row>
    <row r="1685" customFormat="false" ht="15" hidden="false" customHeight="false" outlineLevel="0" collapsed="false">
      <c r="AL1685" s="7" t="str">
        <f aca="false">IF(A1685="","",IF(COUNTIF(A1685:A$2001,A1685)=1,1,0))</f>
        <v/>
      </c>
      <c r="AM1685" s="7" t="str">
        <f aca="true">IF(I1685="","",TODAY()-I1685)</f>
        <v/>
      </c>
      <c r="AN1685" s="7" t="str">
        <f aca="false">IF(A1685="","",IF(AND(E1685&lt;&gt;"33 確認済",E1685&lt;&gt;"36 送付中"),1,0))</f>
        <v/>
      </c>
      <c r="AO1685" s="7" t="str">
        <f aca="false">IF(A1685="","",IF(AG1685&lt;&gt;"",1,0))</f>
        <v/>
      </c>
    </row>
    <row r="1686" customFormat="false" ht="15" hidden="false" customHeight="false" outlineLevel="0" collapsed="false">
      <c r="AL1686" s="7" t="str">
        <f aca="false">IF(A1686="","",IF(COUNTIF(A1686:A$2001,A1686)=1,1,0))</f>
        <v/>
      </c>
      <c r="AM1686" s="7" t="str">
        <f aca="true">IF(I1686="","",TODAY()-I1686)</f>
        <v/>
      </c>
      <c r="AN1686" s="7" t="str">
        <f aca="false">IF(A1686="","",IF(AND(E1686&lt;&gt;"33 確認済",E1686&lt;&gt;"36 送付中"),1,0))</f>
        <v/>
      </c>
      <c r="AO1686" s="7" t="str">
        <f aca="false">IF(A1686="","",IF(AG1686&lt;&gt;"",1,0))</f>
        <v/>
      </c>
    </row>
    <row r="1687" customFormat="false" ht="15" hidden="false" customHeight="false" outlineLevel="0" collapsed="false">
      <c r="AL1687" s="7" t="str">
        <f aca="false">IF(A1687="","",IF(COUNTIF(A1687:A$2001,A1687)=1,1,0))</f>
        <v/>
      </c>
      <c r="AM1687" s="7" t="str">
        <f aca="true">IF(I1687="","",TODAY()-I1687)</f>
        <v/>
      </c>
      <c r="AN1687" s="7" t="str">
        <f aca="false">IF(A1687="","",IF(AND(E1687&lt;&gt;"33 確認済",E1687&lt;&gt;"36 送付中"),1,0))</f>
        <v/>
      </c>
      <c r="AO1687" s="7" t="str">
        <f aca="false">IF(A1687="","",IF(AG1687&lt;&gt;"",1,0))</f>
        <v/>
      </c>
    </row>
    <row r="1688" customFormat="false" ht="15" hidden="false" customHeight="false" outlineLevel="0" collapsed="false">
      <c r="AL1688" s="7" t="str">
        <f aca="false">IF(A1688="","",IF(COUNTIF(A1688:A$2001,A1688)=1,1,0))</f>
        <v/>
      </c>
      <c r="AM1688" s="7" t="str">
        <f aca="true">IF(I1688="","",TODAY()-I1688)</f>
        <v/>
      </c>
      <c r="AN1688" s="7" t="str">
        <f aca="false">IF(A1688="","",IF(AND(E1688&lt;&gt;"33 確認済",E1688&lt;&gt;"36 送付中"),1,0))</f>
        <v/>
      </c>
      <c r="AO1688" s="7" t="str">
        <f aca="false">IF(A1688="","",IF(AG1688&lt;&gt;"",1,0))</f>
        <v/>
      </c>
    </row>
    <row r="1689" customFormat="false" ht="15" hidden="false" customHeight="false" outlineLevel="0" collapsed="false">
      <c r="AL1689" s="7" t="str">
        <f aca="false">IF(A1689="","",IF(COUNTIF(A1689:A$2001,A1689)=1,1,0))</f>
        <v/>
      </c>
      <c r="AM1689" s="7" t="str">
        <f aca="true">IF(I1689="","",TODAY()-I1689)</f>
        <v/>
      </c>
      <c r="AN1689" s="7" t="str">
        <f aca="false">IF(A1689="","",IF(AND(E1689&lt;&gt;"33 確認済",E1689&lt;&gt;"36 送付中"),1,0))</f>
        <v/>
      </c>
      <c r="AO1689" s="7" t="str">
        <f aca="false">IF(A1689="","",IF(AG1689&lt;&gt;"",1,0))</f>
        <v/>
      </c>
    </row>
    <row r="1690" customFormat="false" ht="15" hidden="false" customHeight="false" outlineLevel="0" collapsed="false">
      <c r="AL1690" s="7" t="str">
        <f aca="false">IF(A1690="","",IF(COUNTIF(A1690:A$2001,A1690)=1,1,0))</f>
        <v/>
      </c>
      <c r="AM1690" s="7" t="str">
        <f aca="true">IF(I1690="","",TODAY()-I1690)</f>
        <v/>
      </c>
      <c r="AN1690" s="7" t="str">
        <f aca="false">IF(A1690="","",IF(AND(E1690&lt;&gt;"33 確認済",E1690&lt;&gt;"36 送付中"),1,0))</f>
        <v/>
      </c>
      <c r="AO1690" s="7" t="str">
        <f aca="false">IF(A1690="","",IF(AG1690&lt;&gt;"",1,0))</f>
        <v/>
      </c>
    </row>
    <row r="1691" customFormat="false" ht="15" hidden="false" customHeight="false" outlineLevel="0" collapsed="false">
      <c r="AL1691" s="7" t="str">
        <f aca="false">IF(A1691="","",IF(COUNTIF(A1691:A$2001,A1691)=1,1,0))</f>
        <v/>
      </c>
      <c r="AM1691" s="7" t="str">
        <f aca="true">IF(I1691="","",TODAY()-I1691)</f>
        <v/>
      </c>
      <c r="AN1691" s="7" t="str">
        <f aca="false">IF(A1691="","",IF(AND(E1691&lt;&gt;"33 確認済",E1691&lt;&gt;"36 送付中"),1,0))</f>
        <v/>
      </c>
      <c r="AO1691" s="7" t="str">
        <f aca="false">IF(A1691="","",IF(AG1691&lt;&gt;"",1,0))</f>
        <v/>
      </c>
    </row>
    <row r="1692" customFormat="false" ht="15" hidden="false" customHeight="false" outlineLevel="0" collapsed="false">
      <c r="AL1692" s="7" t="str">
        <f aca="false">IF(A1692="","",IF(COUNTIF(A1692:A$2001,A1692)=1,1,0))</f>
        <v/>
      </c>
      <c r="AM1692" s="7" t="str">
        <f aca="true">IF(I1692="","",TODAY()-I1692)</f>
        <v/>
      </c>
      <c r="AN1692" s="7" t="str">
        <f aca="false">IF(A1692="","",IF(AND(E1692&lt;&gt;"33 確認済",E1692&lt;&gt;"36 送付中"),1,0))</f>
        <v/>
      </c>
      <c r="AO1692" s="7" t="str">
        <f aca="false">IF(A1692="","",IF(AG1692&lt;&gt;"",1,0))</f>
        <v/>
      </c>
    </row>
    <row r="1693" customFormat="false" ht="15" hidden="false" customHeight="false" outlineLevel="0" collapsed="false">
      <c r="AL1693" s="7" t="str">
        <f aca="false">IF(A1693="","",IF(COUNTIF(A1693:A$2001,A1693)=1,1,0))</f>
        <v/>
      </c>
      <c r="AM1693" s="7" t="str">
        <f aca="true">IF(I1693="","",TODAY()-I1693)</f>
        <v/>
      </c>
      <c r="AN1693" s="7" t="str">
        <f aca="false">IF(A1693="","",IF(AND(E1693&lt;&gt;"33 確認済",E1693&lt;&gt;"36 送付中"),1,0))</f>
        <v/>
      </c>
      <c r="AO1693" s="7" t="str">
        <f aca="false">IF(A1693="","",IF(AG1693&lt;&gt;"",1,0))</f>
        <v/>
      </c>
    </row>
    <row r="1694" customFormat="false" ht="15" hidden="false" customHeight="false" outlineLevel="0" collapsed="false">
      <c r="AL1694" s="7" t="str">
        <f aca="false">IF(A1694="","",IF(COUNTIF(A1694:A$2001,A1694)=1,1,0))</f>
        <v/>
      </c>
      <c r="AM1694" s="7" t="str">
        <f aca="true">IF(I1694="","",TODAY()-I1694)</f>
        <v/>
      </c>
      <c r="AN1694" s="7" t="str">
        <f aca="false">IF(A1694="","",IF(AND(E1694&lt;&gt;"33 確認済",E1694&lt;&gt;"36 送付中"),1,0))</f>
        <v/>
      </c>
      <c r="AO1694" s="7" t="str">
        <f aca="false">IF(A1694="","",IF(AG1694&lt;&gt;"",1,0))</f>
        <v/>
      </c>
    </row>
    <row r="1695" customFormat="false" ht="15" hidden="false" customHeight="false" outlineLevel="0" collapsed="false">
      <c r="AL1695" s="7" t="str">
        <f aca="false">IF(A1695="","",IF(COUNTIF(A1695:A$2001,A1695)=1,1,0))</f>
        <v/>
      </c>
      <c r="AM1695" s="7" t="str">
        <f aca="true">IF(I1695="","",TODAY()-I1695)</f>
        <v/>
      </c>
      <c r="AN1695" s="7" t="str">
        <f aca="false">IF(A1695="","",IF(AND(E1695&lt;&gt;"33 確認済",E1695&lt;&gt;"36 送付中"),1,0))</f>
        <v/>
      </c>
      <c r="AO1695" s="7" t="str">
        <f aca="false">IF(A1695="","",IF(AG1695&lt;&gt;"",1,0))</f>
        <v/>
      </c>
    </row>
    <row r="1696" customFormat="false" ht="15" hidden="false" customHeight="false" outlineLevel="0" collapsed="false">
      <c r="AL1696" s="7" t="str">
        <f aca="false">IF(A1696="","",IF(COUNTIF(A1696:A$2001,A1696)=1,1,0))</f>
        <v/>
      </c>
      <c r="AM1696" s="7" t="str">
        <f aca="true">IF(I1696="","",TODAY()-I1696)</f>
        <v/>
      </c>
      <c r="AN1696" s="7" t="str">
        <f aca="false">IF(A1696="","",IF(AND(E1696&lt;&gt;"33 確認済",E1696&lt;&gt;"36 送付中"),1,0))</f>
        <v/>
      </c>
      <c r="AO1696" s="7" t="str">
        <f aca="false">IF(A1696="","",IF(AG1696&lt;&gt;"",1,0))</f>
        <v/>
      </c>
    </row>
    <row r="1697" customFormat="false" ht="15" hidden="false" customHeight="false" outlineLevel="0" collapsed="false">
      <c r="AL1697" s="7" t="str">
        <f aca="false">IF(A1697="","",IF(COUNTIF(A1697:A$2001,A1697)=1,1,0))</f>
        <v/>
      </c>
      <c r="AM1697" s="7" t="str">
        <f aca="true">IF(I1697="","",TODAY()-I1697)</f>
        <v/>
      </c>
      <c r="AN1697" s="7" t="str">
        <f aca="false">IF(A1697="","",IF(AND(E1697&lt;&gt;"33 確認済",E1697&lt;&gt;"36 送付中"),1,0))</f>
        <v/>
      </c>
      <c r="AO1697" s="7" t="str">
        <f aca="false">IF(A1697="","",IF(AG1697&lt;&gt;"",1,0))</f>
        <v/>
      </c>
    </row>
    <row r="1698" customFormat="false" ht="15" hidden="false" customHeight="false" outlineLevel="0" collapsed="false">
      <c r="AL1698" s="7" t="str">
        <f aca="false">IF(A1698="","",IF(COUNTIF(A1698:A$2001,A1698)=1,1,0))</f>
        <v/>
      </c>
      <c r="AM1698" s="7" t="str">
        <f aca="true">IF(I1698="","",TODAY()-I1698)</f>
        <v/>
      </c>
      <c r="AN1698" s="7" t="str">
        <f aca="false">IF(A1698="","",IF(AND(E1698&lt;&gt;"33 確認済",E1698&lt;&gt;"36 送付中"),1,0))</f>
        <v/>
      </c>
      <c r="AO1698" s="7" t="str">
        <f aca="false">IF(A1698="","",IF(AG1698&lt;&gt;"",1,0))</f>
        <v/>
      </c>
    </row>
    <row r="1699" customFormat="false" ht="15" hidden="false" customHeight="false" outlineLevel="0" collapsed="false">
      <c r="AL1699" s="7" t="str">
        <f aca="false">IF(A1699="","",IF(COUNTIF(A1699:A$2001,A1699)=1,1,0))</f>
        <v/>
      </c>
      <c r="AM1699" s="7" t="str">
        <f aca="true">IF(I1699="","",TODAY()-I1699)</f>
        <v/>
      </c>
      <c r="AN1699" s="7" t="str">
        <f aca="false">IF(A1699="","",IF(AND(E1699&lt;&gt;"33 確認済",E1699&lt;&gt;"36 送付中"),1,0))</f>
        <v/>
      </c>
      <c r="AO1699" s="7" t="str">
        <f aca="false">IF(A1699="","",IF(AG1699&lt;&gt;"",1,0))</f>
        <v/>
      </c>
    </row>
    <row r="1700" customFormat="false" ht="15" hidden="false" customHeight="false" outlineLevel="0" collapsed="false">
      <c r="AL1700" s="7" t="str">
        <f aca="false">IF(A1700="","",IF(COUNTIF(A1700:A$2001,A1700)=1,1,0))</f>
        <v/>
      </c>
      <c r="AM1700" s="7" t="str">
        <f aca="true">IF(I1700="","",TODAY()-I1700)</f>
        <v/>
      </c>
      <c r="AN1700" s="7" t="str">
        <f aca="false">IF(A1700="","",IF(AND(E1700&lt;&gt;"33 確認済",E1700&lt;&gt;"36 送付中"),1,0))</f>
        <v/>
      </c>
      <c r="AO1700" s="7" t="str">
        <f aca="false">IF(A1700="","",IF(AG1700&lt;&gt;"",1,0))</f>
        <v/>
      </c>
    </row>
    <row r="1701" customFormat="false" ht="15" hidden="false" customHeight="false" outlineLevel="0" collapsed="false">
      <c r="AL1701" s="7" t="str">
        <f aca="false">IF(A1701="","",IF(COUNTIF(A1701:A$2001,A1701)=1,1,0))</f>
        <v/>
      </c>
      <c r="AM1701" s="7" t="str">
        <f aca="true">IF(I1701="","",TODAY()-I1701)</f>
        <v/>
      </c>
      <c r="AN1701" s="7" t="str">
        <f aca="false">IF(A1701="","",IF(AND(E1701&lt;&gt;"33 確認済",E1701&lt;&gt;"36 送付中"),1,0))</f>
        <v/>
      </c>
      <c r="AO1701" s="7" t="str">
        <f aca="false">IF(A1701="","",IF(AG1701&lt;&gt;"",1,0))</f>
        <v/>
      </c>
    </row>
    <row r="1702" customFormat="false" ht="15" hidden="false" customHeight="false" outlineLevel="0" collapsed="false">
      <c r="AL1702" s="7" t="str">
        <f aca="false">IF(A1702="","",IF(COUNTIF(A1702:A$2001,A1702)=1,1,0))</f>
        <v/>
      </c>
      <c r="AM1702" s="7" t="str">
        <f aca="true">IF(I1702="","",TODAY()-I1702)</f>
        <v/>
      </c>
      <c r="AN1702" s="7" t="str">
        <f aca="false">IF(A1702="","",IF(AND(E1702&lt;&gt;"33 確認済",E1702&lt;&gt;"36 送付中"),1,0))</f>
        <v/>
      </c>
      <c r="AO1702" s="7" t="str">
        <f aca="false">IF(A1702="","",IF(AG1702&lt;&gt;"",1,0))</f>
        <v/>
      </c>
    </row>
    <row r="1703" customFormat="false" ht="15" hidden="false" customHeight="false" outlineLevel="0" collapsed="false">
      <c r="AL1703" s="7" t="str">
        <f aca="false">IF(A1703="","",IF(COUNTIF(A1703:A$2001,A1703)=1,1,0))</f>
        <v/>
      </c>
      <c r="AM1703" s="7" t="str">
        <f aca="true">IF(I1703="","",TODAY()-I1703)</f>
        <v/>
      </c>
      <c r="AN1703" s="7" t="str">
        <f aca="false">IF(A1703="","",IF(AND(E1703&lt;&gt;"33 確認済",E1703&lt;&gt;"36 送付中"),1,0))</f>
        <v/>
      </c>
      <c r="AO1703" s="7" t="str">
        <f aca="false">IF(A1703="","",IF(AG1703&lt;&gt;"",1,0))</f>
        <v/>
      </c>
    </row>
    <row r="1704" customFormat="false" ht="15" hidden="false" customHeight="false" outlineLevel="0" collapsed="false">
      <c r="AL1704" s="7" t="str">
        <f aca="false">IF(A1704="","",IF(COUNTIF(A1704:A$2001,A1704)=1,1,0))</f>
        <v/>
      </c>
      <c r="AM1704" s="7" t="str">
        <f aca="true">IF(I1704="","",TODAY()-I1704)</f>
        <v/>
      </c>
      <c r="AN1704" s="7" t="str">
        <f aca="false">IF(A1704="","",IF(AND(E1704&lt;&gt;"33 確認済",E1704&lt;&gt;"36 送付中"),1,0))</f>
        <v/>
      </c>
      <c r="AO1704" s="7" t="str">
        <f aca="false">IF(A1704="","",IF(AG1704&lt;&gt;"",1,0))</f>
        <v/>
      </c>
    </row>
    <row r="1705" customFormat="false" ht="15" hidden="false" customHeight="false" outlineLevel="0" collapsed="false">
      <c r="AL1705" s="7" t="str">
        <f aca="false">IF(A1705="","",IF(COUNTIF(A1705:A$2001,A1705)=1,1,0))</f>
        <v/>
      </c>
      <c r="AM1705" s="7" t="str">
        <f aca="true">IF(I1705="","",TODAY()-I1705)</f>
        <v/>
      </c>
      <c r="AN1705" s="7" t="str">
        <f aca="false">IF(A1705="","",IF(AND(E1705&lt;&gt;"33 確認済",E1705&lt;&gt;"36 送付中"),1,0))</f>
        <v/>
      </c>
      <c r="AO1705" s="7" t="str">
        <f aca="false">IF(A1705="","",IF(AG1705&lt;&gt;"",1,0))</f>
        <v/>
      </c>
    </row>
    <row r="1706" customFormat="false" ht="15" hidden="false" customHeight="false" outlineLevel="0" collapsed="false">
      <c r="AL1706" s="7" t="str">
        <f aca="false">IF(A1706="","",IF(COUNTIF(A1706:A$2001,A1706)=1,1,0))</f>
        <v/>
      </c>
      <c r="AM1706" s="7" t="str">
        <f aca="true">IF(I1706="","",TODAY()-I1706)</f>
        <v/>
      </c>
      <c r="AN1706" s="7" t="str">
        <f aca="false">IF(A1706="","",IF(AND(E1706&lt;&gt;"33 確認済",E1706&lt;&gt;"36 送付中"),1,0))</f>
        <v/>
      </c>
      <c r="AO1706" s="7" t="str">
        <f aca="false">IF(A1706="","",IF(AG1706&lt;&gt;"",1,0))</f>
        <v/>
      </c>
    </row>
    <row r="1707" customFormat="false" ht="15" hidden="false" customHeight="false" outlineLevel="0" collapsed="false">
      <c r="AL1707" s="7" t="str">
        <f aca="false">IF(A1707="","",IF(COUNTIF(A1707:A$2001,A1707)=1,1,0))</f>
        <v/>
      </c>
      <c r="AM1707" s="7" t="str">
        <f aca="true">IF(I1707="","",TODAY()-I1707)</f>
        <v/>
      </c>
      <c r="AN1707" s="7" t="str">
        <f aca="false">IF(A1707="","",IF(AND(E1707&lt;&gt;"33 確認済",E1707&lt;&gt;"36 送付中"),1,0))</f>
        <v/>
      </c>
      <c r="AO1707" s="7" t="str">
        <f aca="false">IF(A1707="","",IF(AG1707&lt;&gt;"",1,0))</f>
        <v/>
      </c>
    </row>
    <row r="1708" customFormat="false" ht="15" hidden="false" customHeight="false" outlineLevel="0" collapsed="false">
      <c r="AL1708" s="7" t="str">
        <f aca="false">IF(A1708="","",IF(COUNTIF(A1708:A$2001,A1708)=1,1,0))</f>
        <v/>
      </c>
      <c r="AM1708" s="7" t="str">
        <f aca="true">IF(I1708="","",TODAY()-I1708)</f>
        <v/>
      </c>
      <c r="AN1708" s="7" t="str">
        <f aca="false">IF(A1708="","",IF(AND(E1708&lt;&gt;"33 確認済",E1708&lt;&gt;"36 送付中"),1,0))</f>
        <v/>
      </c>
      <c r="AO1708" s="7" t="str">
        <f aca="false">IF(A1708="","",IF(AG1708&lt;&gt;"",1,0))</f>
        <v/>
      </c>
    </row>
    <row r="1709" customFormat="false" ht="15" hidden="false" customHeight="false" outlineLevel="0" collapsed="false">
      <c r="AL1709" s="7" t="str">
        <f aca="false">IF(A1709="","",IF(COUNTIF(A1709:A$2001,A1709)=1,1,0))</f>
        <v/>
      </c>
      <c r="AM1709" s="7" t="str">
        <f aca="true">IF(I1709="","",TODAY()-I1709)</f>
        <v/>
      </c>
      <c r="AN1709" s="7" t="str">
        <f aca="false">IF(A1709="","",IF(AND(E1709&lt;&gt;"33 確認済",E1709&lt;&gt;"36 送付中"),1,0))</f>
        <v/>
      </c>
      <c r="AO1709" s="7" t="str">
        <f aca="false">IF(A1709="","",IF(AG1709&lt;&gt;"",1,0))</f>
        <v/>
      </c>
    </row>
    <row r="1710" customFormat="false" ht="15" hidden="false" customHeight="false" outlineLevel="0" collapsed="false">
      <c r="AL1710" s="7" t="str">
        <f aca="false">IF(A1710="","",IF(COUNTIF(A1710:A$2001,A1710)=1,1,0))</f>
        <v/>
      </c>
      <c r="AM1710" s="7" t="str">
        <f aca="true">IF(I1710="","",TODAY()-I1710)</f>
        <v/>
      </c>
      <c r="AN1710" s="7" t="str">
        <f aca="false">IF(A1710="","",IF(AND(E1710&lt;&gt;"33 確認済",E1710&lt;&gt;"36 送付中"),1,0))</f>
        <v/>
      </c>
      <c r="AO1710" s="7" t="str">
        <f aca="false">IF(A1710="","",IF(AG1710&lt;&gt;"",1,0))</f>
        <v/>
      </c>
    </row>
    <row r="1711" customFormat="false" ht="15" hidden="false" customHeight="false" outlineLevel="0" collapsed="false">
      <c r="AL1711" s="7" t="str">
        <f aca="false">IF(A1711="","",IF(COUNTIF(A1711:A$2001,A1711)=1,1,0))</f>
        <v/>
      </c>
      <c r="AM1711" s="7" t="str">
        <f aca="true">IF(I1711="","",TODAY()-I1711)</f>
        <v/>
      </c>
      <c r="AN1711" s="7" t="str">
        <f aca="false">IF(A1711="","",IF(AND(E1711&lt;&gt;"33 確認済",E1711&lt;&gt;"36 送付中"),1,0))</f>
        <v/>
      </c>
      <c r="AO1711" s="7" t="str">
        <f aca="false">IF(A1711="","",IF(AG1711&lt;&gt;"",1,0))</f>
        <v/>
      </c>
    </row>
    <row r="1712" customFormat="false" ht="15" hidden="false" customHeight="false" outlineLevel="0" collapsed="false">
      <c r="AL1712" s="7" t="str">
        <f aca="false">IF(A1712="","",IF(COUNTIF(A1712:A$2001,A1712)=1,1,0))</f>
        <v/>
      </c>
      <c r="AM1712" s="7" t="str">
        <f aca="true">IF(I1712="","",TODAY()-I1712)</f>
        <v/>
      </c>
      <c r="AN1712" s="7" t="str">
        <f aca="false">IF(A1712="","",IF(AND(E1712&lt;&gt;"33 確認済",E1712&lt;&gt;"36 送付中"),1,0))</f>
        <v/>
      </c>
      <c r="AO1712" s="7" t="str">
        <f aca="false">IF(A1712="","",IF(AG1712&lt;&gt;"",1,0))</f>
        <v/>
      </c>
    </row>
    <row r="1713" customFormat="false" ht="15" hidden="false" customHeight="false" outlineLevel="0" collapsed="false">
      <c r="AL1713" s="7" t="str">
        <f aca="false">IF(A1713="","",IF(COUNTIF(A1713:A$2001,A1713)=1,1,0))</f>
        <v/>
      </c>
      <c r="AM1713" s="7" t="str">
        <f aca="true">IF(I1713="","",TODAY()-I1713)</f>
        <v/>
      </c>
      <c r="AN1713" s="7" t="str">
        <f aca="false">IF(A1713="","",IF(AND(E1713&lt;&gt;"33 確認済",E1713&lt;&gt;"36 送付中"),1,0))</f>
        <v/>
      </c>
      <c r="AO1713" s="7" t="str">
        <f aca="false">IF(A1713="","",IF(AG1713&lt;&gt;"",1,0))</f>
        <v/>
      </c>
    </row>
    <row r="1714" customFormat="false" ht="15" hidden="false" customHeight="false" outlineLevel="0" collapsed="false">
      <c r="AL1714" s="7" t="str">
        <f aca="false">IF(A1714="","",IF(COUNTIF(A1714:A$2001,A1714)=1,1,0))</f>
        <v/>
      </c>
      <c r="AM1714" s="7" t="str">
        <f aca="true">IF(I1714="","",TODAY()-I1714)</f>
        <v/>
      </c>
      <c r="AN1714" s="7" t="str">
        <f aca="false">IF(A1714="","",IF(AND(E1714&lt;&gt;"33 確認済",E1714&lt;&gt;"36 送付中"),1,0))</f>
        <v/>
      </c>
      <c r="AO1714" s="7" t="str">
        <f aca="false">IF(A1714="","",IF(AG1714&lt;&gt;"",1,0))</f>
        <v/>
      </c>
    </row>
    <row r="1715" customFormat="false" ht="15" hidden="false" customHeight="false" outlineLevel="0" collapsed="false">
      <c r="AL1715" s="7" t="str">
        <f aca="false">IF(A1715="","",IF(COUNTIF(A1715:A$2001,A1715)=1,1,0))</f>
        <v/>
      </c>
      <c r="AM1715" s="7" t="str">
        <f aca="true">IF(I1715="","",TODAY()-I1715)</f>
        <v/>
      </c>
      <c r="AN1715" s="7" t="str">
        <f aca="false">IF(A1715="","",IF(AND(E1715&lt;&gt;"33 確認済",E1715&lt;&gt;"36 送付中"),1,0))</f>
        <v/>
      </c>
      <c r="AO1715" s="7" t="str">
        <f aca="false">IF(A1715="","",IF(AG1715&lt;&gt;"",1,0))</f>
        <v/>
      </c>
    </row>
    <row r="1716" customFormat="false" ht="15" hidden="false" customHeight="false" outlineLevel="0" collapsed="false">
      <c r="AL1716" s="7" t="str">
        <f aca="false">IF(A1716="","",IF(COUNTIF(A1716:A$2001,A1716)=1,1,0))</f>
        <v/>
      </c>
      <c r="AM1716" s="7" t="str">
        <f aca="true">IF(I1716="","",TODAY()-I1716)</f>
        <v/>
      </c>
      <c r="AN1716" s="7" t="str">
        <f aca="false">IF(A1716="","",IF(AND(E1716&lt;&gt;"33 確認済",E1716&lt;&gt;"36 送付中"),1,0))</f>
        <v/>
      </c>
      <c r="AO1716" s="7" t="str">
        <f aca="false">IF(A1716="","",IF(AG1716&lt;&gt;"",1,0))</f>
        <v/>
      </c>
    </row>
    <row r="1717" customFormat="false" ht="15" hidden="false" customHeight="false" outlineLevel="0" collapsed="false">
      <c r="AL1717" s="7" t="str">
        <f aca="false">IF(A1717="","",IF(COUNTIF(A1717:A$2001,A1717)=1,1,0))</f>
        <v/>
      </c>
      <c r="AM1717" s="7" t="str">
        <f aca="true">IF(I1717="","",TODAY()-I1717)</f>
        <v/>
      </c>
      <c r="AN1717" s="7" t="str">
        <f aca="false">IF(A1717="","",IF(AND(E1717&lt;&gt;"33 確認済",E1717&lt;&gt;"36 送付中"),1,0))</f>
        <v/>
      </c>
      <c r="AO1717" s="7" t="str">
        <f aca="false">IF(A1717="","",IF(AG1717&lt;&gt;"",1,0))</f>
        <v/>
      </c>
    </row>
    <row r="1718" customFormat="false" ht="15" hidden="false" customHeight="false" outlineLevel="0" collapsed="false">
      <c r="AL1718" s="7" t="str">
        <f aca="false">IF(A1718="","",IF(COUNTIF(A1718:A$2001,A1718)=1,1,0))</f>
        <v/>
      </c>
      <c r="AM1718" s="7" t="str">
        <f aca="true">IF(I1718="","",TODAY()-I1718)</f>
        <v/>
      </c>
      <c r="AN1718" s="7" t="str">
        <f aca="false">IF(A1718="","",IF(AND(E1718&lt;&gt;"33 確認済",E1718&lt;&gt;"36 送付中"),1,0))</f>
        <v/>
      </c>
      <c r="AO1718" s="7" t="str">
        <f aca="false">IF(A1718="","",IF(AG1718&lt;&gt;"",1,0))</f>
        <v/>
      </c>
    </row>
    <row r="1719" customFormat="false" ht="15" hidden="false" customHeight="false" outlineLevel="0" collapsed="false">
      <c r="AL1719" s="7" t="str">
        <f aca="false">IF(A1719="","",IF(COUNTIF(A1719:A$2001,A1719)=1,1,0))</f>
        <v/>
      </c>
      <c r="AM1719" s="7" t="str">
        <f aca="true">IF(I1719="","",TODAY()-I1719)</f>
        <v/>
      </c>
      <c r="AN1719" s="7" t="str">
        <f aca="false">IF(A1719="","",IF(AND(E1719&lt;&gt;"33 確認済",E1719&lt;&gt;"36 送付中"),1,0))</f>
        <v/>
      </c>
      <c r="AO1719" s="7" t="str">
        <f aca="false">IF(A1719="","",IF(AG1719&lt;&gt;"",1,0))</f>
        <v/>
      </c>
    </row>
    <row r="1720" customFormat="false" ht="15" hidden="false" customHeight="false" outlineLevel="0" collapsed="false">
      <c r="AL1720" s="7" t="str">
        <f aca="false">IF(A1720="","",IF(COUNTIF(A1720:A$2001,A1720)=1,1,0))</f>
        <v/>
      </c>
      <c r="AM1720" s="7" t="str">
        <f aca="true">IF(I1720="","",TODAY()-I1720)</f>
        <v/>
      </c>
      <c r="AN1720" s="7" t="str">
        <f aca="false">IF(A1720="","",IF(AND(E1720&lt;&gt;"33 確認済",E1720&lt;&gt;"36 送付中"),1,0))</f>
        <v/>
      </c>
      <c r="AO1720" s="7" t="str">
        <f aca="false">IF(A1720="","",IF(AG1720&lt;&gt;"",1,0))</f>
        <v/>
      </c>
    </row>
    <row r="1721" customFormat="false" ht="15" hidden="false" customHeight="false" outlineLevel="0" collapsed="false">
      <c r="AL1721" s="7" t="str">
        <f aca="false">IF(A1721="","",IF(COUNTIF(A1721:A$2001,A1721)=1,1,0))</f>
        <v/>
      </c>
      <c r="AM1721" s="7" t="str">
        <f aca="true">IF(I1721="","",TODAY()-I1721)</f>
        <v/>
      </c>
      <c r="AN1721" s="7" t="str">
        <f aca="false">IF(A1721="","",IF(AND(E1721&lt;&gt;"33 確認済",E1721&lt;&gt;"36 送付中"),1,0))</f>
        <v/>
      </c>
      <c r="AO1721" s="7" t="str">
        <f aca="false">IF(A1721="","",IF(AG1721&lt;&gt;"",1,0))</f>
        <v/>
      </c>
    </row>
    <row r="1722" customFormat="false" ht="15" hidden="false" customHeight="false" outlineLevel="0" collapsed="false">
      <c r="AL1722" s="7" t="str">
        <f aca="false">IF(A1722="","",IF(COUNTIF(A1722:A$2001,A1722)=1,1,0))</f>
        <v/>
      </c>
      <c r="AM1722" s="7" t="str">
        <f aca="true">IF(I1722="","",TODAY()-I1722)</f>
        <v/>
      </c>
      <c r="AN1722" s="7" t="str">
        <f aca="false">IF(A1722="","",IF(AND(E1722&lt;&gt;"33 確認済",E1722&lt;&gt;"36 送付中"),1,0))</f>
        <v/>
      </c>
      <c r="AO1722" s="7" t="str">
        <f aca="false">IF(A1722="","",IF(AG1722&lt;&gt;"",1,0))</f>
        <v/>
      </c>
    </row>
    <row r="1723" customFormat="false" ht="15" hidden="false" customHeight="false" outlineLevel="0" collapsed="false">
      <c r="AL1723" s="7" t="str">
        <f aca="false">IF(A1723="","",IF(COUNTIF(A1723:A$2001,A1723)=1,1,0))</f>
        <v/>
      </c>
      <c r="AM1723" s="7" t="str">
        <f aca="true">IF(I1723="","",TODAY()-I1723)</f>
        <v/>
      </c>
      <c r="AN1723" s="7" t="str">
        <f aca="false">IF(A1723="","",IF(AND(E1723&lt;&gt;"33 確認済",E1723&lt;&gt;"36 送付中"),1,0))</f>
        <v/>
      </c>
      <c r="AO1723" s="7" t="str">
        <f aca="false">IF(A1723="","",IF(AG1723&lt;&gt;"",1,0))</f>
        <v/>
      </c>
    </row>
    <row r="1724" customFormat="false" ht="15" hidden="false" customHeight="false" outlineLevel="0" collapsed="false">
      <c r="AL1724" s="7" t="str">
        <f aca="false">IF(A1724="","",IF(COUNTIF(A1724:A$2001,A1724)=1,1,0))</f>
        <v/>
      </c>
      <c r="AM1724" s="7" t="str">
        <f aca="true">IF(I1724="","",TODAY()-I1724)</f>
        <v/>
      </c>
      <c r="AN1724" s="7" t="str">
        <f aca="false">IF(A1724="","",IF(AND(E1724&lt;&gt;"33 確認済",E1724&lt;&gt;"36 送付中"),1,0))</f>
        <v/>
      </c>
      <c r="AO1724" s="7" t="str">
        <f aca="false">IF(A1724="","",IF(AG1724&lt;&gt;"",1,0))</f>
        <v/>
      </c>
    </row>
    <row r="1725" customFormat="false" ht="15" hidden="false" customHeight="false" outlineLevel="0" collapsed="false">
      <c r="AL1725" s="7" t="str">
        <f aca="false">IF(A1725="","",IF(COUNTIF(A1725:A$2001,A1725)=1,1,0))</f>
        <v/>
      </c>
      <c r="AM1725" s="7" t="str">
        <f aca="true">IF(I1725="","",TODAY()-I1725)</f>
        <v/>
      </c>
      <c r="AN1725" s="7" t="str">
        <f aca="false">IF(A1725="","",IF(AND(E1725&lt;&gt;"33 確認済",E1725&lt;&gt;"36 送付中"),1,0))</f>
        <v/>
      </c>
      <c r="AO1725" s="7" t="str">
        <f aca="false">IF(A1725="","",IF(AG1725&lt;&gt;"",1,0))</f>
        <v/>
      </c>
    </row>
    <row r="1726" customFormat="false" ht="15" hidden="false" customHeight="false" outlineLevel="0" collapsed="false">
      <c r="AL1726" s="7" t="str">
        <f aca="false">IF(A1726="","",IF(COUNTIF(A1726:A$2001,A1726)=1,1,0))</f>
        <v/>
      </c>
      <c r="AM1726" s="7" t="str">
        <f aca="true">IF(I1726="","",TODAY()-I1726)</f>
        <v/>
      </c>
      <c r="AN1726" s="7" t="str">
        <f aca="false">IF(A1726="","",IF(AND(E1726&lt;&gt;"33 確認済",E1726&lt;&gt;"36 送付中"),1,0))</f>
        <v/>
      </c>
      <c r="AO1726" s="7" t="str">
        <f aca="false">IF(A1726="","",IF(AG1726&lt;&gt;"",1,0))</f>
        <v/>
      </c>
    </row>
    <row r="1727" customFormat="false" ht="15" hidden="false" customHeight="false" outlineLevel="0" collapsed="false">
      <c r="AL1727" s="7" t="str">
        <f aca="false">IF(A1727="","",IF(COUNTIF(A1727:A$2001,A1727)=1,1,0))</f>
        <v/>
      </c>
      <c r="AM1727" s="7" t="str">
        <f aca="true">IF(I1727="","",TODAY()-I1727)</f>
        <v/>
      </c>
      <c r="AN1727" s="7" t="str">
        <f aca="false">IF(A1727="","",IF(AND(E1727&lt;&gt;"33 確認済",E1727&lt;&gt;"36 送付中"),1,0))</f>
        <v/>
      </c>
      <c r="AO1727" s="7" t="str">
        <f aca="false">IF(A1727="","",IF(AG1727&lt;&gt;"",1,0))</f>
        <v/>
      </c>
    </row>
    <row r="1728" customFormat="false" ht="15" hidden="false" customHeight="false" outlineLevel="0" collapsed="false">
      <c r="AL1728" s="7" t="str">
        <f aca="false">IF(A1728="","",IF(COUNTIF(A1728:A$2001,A1728)=1,1,0))</f>
        <v/>
      </c>
      <c r="AM1728" s="7" t="str">
        <f aca="true">IF(I1728="","",TODAY()-I1728)</f>
        <v/>
      </c>
      <c r="AN1728" s="7" t="str">
        <f aca="false">IF(A1728="","",IF(AND(E1728&lt;&gt;"33 確認済",E1728&lt;&gt;"36 送付中"),1,0))</f>
        <v/>
      </c>
      <c r="AO1728" s="7" t="str">
        <f aca="false">IF(A1728="","",IF(AG1728&lt;&gt;"",1,0))</f>
        <v/>
      </c>
    </row>
    <row r="1729" customFormat="false" ht="15" hidden="false" customHeight="false" outlineLevel="0" collapsed="false">
      <c r="AL1729" s="7" t="str">
        <f aca="false">IF(A1729="","",IF(COUNTIF(A1729:A$2001,A1729)=1,1,0))</f>
        <v/>
      </c>
      <c r="AM1729" s="7" t="str">
        <f aca="true">IF(I1729="","",TODAY()-I1729)</f>
        <v/>
      </c>
      <c r="AN1729" s="7" t="str">
        <f aca="false">IF(A1729="","",IF(AND(E1729&lt;&gt;"33 確認済",E1729&lt;&gt;"36 送付中"),1,0))</f>
        <v/>
      </c>
      <c r="AO1729" s="7" t="str">
        <f aca="false">IF(A1729="","",IF(AG1729&lt;&gt;"",1,0))</f>
        <v/>
      </c>
    </row>
    <row r="1730" customFormat="false" ht="15" hidden="false" customHeight="false" outlineLevel="0" collapsed="false">
      <c r="AL1730" s="7" t="str">
        <f aca="false">IF(A1730="","",IF(COUNTIF(A1730:A$2001,A1730)=1,1,0))</f>
        <v/>
      </c>
      <c r="AM1730" s="7" t="str">
        <f aca="true">IF(I1730="","",TODAY()-I1730)</f>
        <v/>
      </c>
      <c r="AN1730" s="7" t="str">
        <f aca="false">IF(A1730="","",IF(AND(E1730&lt;&gt;"33 確認済",E1730&lt;&gt;"36 送付中"),1,0))</f>
        <v/>
      </c>
      <c r="AO1730" s="7" t="str">
        <f aca="false">IF(A1730="","",IF(AG1730&lt;&gt;"",1,0))</f>
        <v/>
      </c>
    </row>
    <row r="1731" customFormat="false" ht="15" hidden="false" customHeight="false" outlineLevel="0" collapsed="false">
      <c r="AL1731" s="7" t="str">
        <f aca="false">IF(A1731="","",IF(COUNTIF(A1731:A$2001,A1731)=1,1,0))</f>
        <v/>
      </c>
      <c r="AM1731" s="7" t="str">
        <f aca="true">IF(I1731="","",TODAY()-I1731)</f>
        <v/>
      </c>
      <c r="AN1731" s="7" t="str">
        <f aca="false">IF(A1731="","",IF(AND(E1731&lt;&gt;"33 確認済",E1731&lt;&gt;"36 送付中"),1,0))</f>
        <v/>
      </c>
      <c r="AO1731" s="7" t="str">
        <f aca="false">IF(A1731="","",IF(AG1731&lt;&gt;"",1,0))</f>
        <v/>
      </c>
    </row>
    <row r="1732" customFormat="false" ht="15" hidden="false" customHeight="false" outlineLevel="0" collapsed="false">
      <c r="AL1732" s="7" t="str">
        <f aca="false">IF(A1732="","",IF(COUNTIF(A1732:A$2001,A1732)=1,1,0))</f>
        <v/>
      </c>
      <c r="AM1732" s="7" t="str">
        <f aca="true">IF(I1732="","",TODAY()-I1732)</f>
        <v/>
      </c>
      <c r="AN1732" s="7" t="str">
        <f aca="false">IF(A1732="","",IF(AND(E1732&lt;&gt;"33 確認済",E1732&lt;&gt;"36 送付中"),1,0))</f>
        <v/>
      </c>
      <c r="AO1732" s="7" t="str">
        <f aca="false">IF(A1732="","",IF(AG1732&lt;&gt;"",1,0))</f>
        <v/>
      </c>
    </row>
    <row r="1733" customFormat="false" ht="15" hidden="false" customHeight="false" outlineLevel="0" collapsed="false">
      <c r="AL1733" s="7" t="str">
        <f aca="false">IF(A1733="","",IF(COUNTIF(A1733:A$2001,A1733)=1,1,0))</f>
        <v/>
      </c>
      <c r="AM1733" s="7" t="str">
        <f aca="true">IF(I1733="","",TODAY()-I1733)</f>
        <v/>
      </c>
      <c r="AN1733" s="7" t="str">
        <f aca="false">IF(A1733="","",IF(AND(E1733&lt;&gt;"33 確認済",E1733&lt;&gt;"36 送付中"),1,0))</f>
        <v/>
      </c>
      <c r="AO1733" s="7" t="str">
        <f aca="false">IF(A1733="","",IF(AG1733&lt;&gt;"",1,0))</f>
        <v/>
      </c>
    </row>
    <row r="1734" customFormat="false" ht="15" hidden="false" customHeight="false" outlineLevel="0" collapsed="false">
      <c r="AL1734" s="7" t="str">
        <f aca="false">IF(A1734="","",IF(COUNTIF(A1734:A$2001,A1734)=1,1,0))</f>
        <v/>
      </c>
      <c r="AM1734" s="7" t="str">
        <f aca="true">IF(I1734="","",TODAY()-I1734)</f>
        <v/>
      </c>
      <c r="AN1734" s="7" t="str">
        <f aca="false">IF(A1734="","",IF(AND(E1734&lt;&gt;"33 確認済",E1734&lt;&gt;"36 送付中"),1,0))</f>
        <v/>
      </c>
      <c r="AO1734" s="7" t="str">
        <f aca="false">IF(A1734="","",IF(AG1734&lt;&gt;"",1,0))</f>
        <v/>
      </c>
    </row>
    <row r="1735" customFormat="false" ht="15" hidden="false" customHeight="false" outlineLevel="0" collapsed="false">
      <c r="AL1735" s="7" t="str">
        <f aca="false">IF(A1735="","",IF(COUNTIF(A1735:A$2001,A1735)=1,1,0))</f>
        <v/>
      </c>
      <c r="AM1735" s="7" t="str">
        <f aca="true">IF(I1735="","",TODAY()-I1735)</f>
        <v/>
      </c>
      <c r="AN1735" s="7" t="str">
        <f aca="false">IF(A1735="","",IF(AND(E1735&lt;&gt;"33 確認済",E1735&lt;&gt;"36 送付中"),1,0))</f>
        <v/>
      </c>
      <c r="AO1735" s="7" t="str">
        <f aca="false">IF(A1735="","",IF(AG1735&lt;&gt;"",1,0))</f>
        <v/>
      </c>
    </row>
    <row r="1736" customFormat="false" ht="15" hidden="false" customHeight="false" outlineLevel="0" collapsed="false">
      <c r="AL1736" s="7" t="str">
        <f aca="false">IF(A1736="","",IF(COUNTIF(A1736:A$2001,A1736)=1,1,0))</f>
        <v/>
      </c>
      <c r="AM1736" s="7" t="str">
        <f aca="true">IF(I1736="","",TODAY()-I1736)</f>
        <v/>
      </c>
      <c r="AN1736" s="7" t="str">
        <f aca="false">IF(A1736="","",IF(AND(E1736&lt;&gt;"33 確認済",E1736&lt;&gt;"36 送付中"),1,0))</f>
        <v/>
      </c>
      <c r="AO1736" s="7" t="str">
        <f aca="false">IF(A1736="","",IF(AG1736&lt;&gt;"",1,0))</f>
        <v/>
      </c>
    </row>
    <row r="1737" customFormat="false" ht="15" hidden="false" customHeight="false" outlineLevel="0" collapsed="false">
      <c r="AL1737" s="7" t="str">
        <f aca="false">IF(A1737="","",IF(COUNTIF(A1737:A$2001,A1737)=1,1,0))</f>
        <v/>
      </c>
      <c r="AM1737" s="7" t="str">
        <f aca="true">IF(I1737="","",TODAY()-I1737)</f>
        <v/>
      </c>
      <c r="AN1737" s="7" t="str">
        <f aca="false">IF(A1737="","",IF(AND(E1737&lt;&gt;"33 確認済",E1737&lt;&gt;"36 送付中"),1,0))</f>
        <v/>
      </c>
      <c r="AO1737" s="7" t="str">
        <f aca="false">IF(A1737="","",IF(AG1737&lt;&gt;"",1,0))</f>
        <v/>
      </c>
    </row>
    <row r="1738" customFormat="false" ht="15" hidden="false" customHeight="false" outlineLevel="0" collapsed="false">
      <c r="AL1738" s="7" t="str">
        <f aca="false">IF(A1738="","",IF(COUNTIF(A1738:A$2001,A1738)=1,1,0))</f>
        <v/>
      </c>
      <c r="AM1738" s="7" t="str">
        <f aca="true">IF(I1738="","",TODAY()-I1738)</f>
        <v/>
      </c>
      <c r="AN1738" s="7" t="str">
        <f aca="false">IF(A1738="","",IF(AND(E1738&lt;&gt;"33 確認済",E1738&lt;&gt;"36 送付中"),1,0))</f>
        <v/>
      </c>
      <c r="AO1738" s="7" t="str">
        <f aca="false">IF(A1738="","",IF(AG1738&lt;&gt;"",1,0))</f>
        <v/>
      </c>
    </row>
    <row r="1739" customFormat="false" ht="15" hidden="false" customHeight="false" outlineLevel="0" collapsed="false">
      <c r="AL1739" s="7" t="str">
        <f aca="false">IF(A1739="","",IF(COUNTIF(A1739:A$2001,A1739)=1,1,0))</f>
        <v/>
      </c>
      <c r="AM1739" s="7" t="str">
        <f aca="true">IF(I1739="","",TODAY()-I1739)</f>
        <v/>
      </c>
      <c r="AN1739" s="7" t="str">
        <f aca="false">IF(A1739="","",IF(AND(E1739&lt;&gt;"33 確認済",E1739&lt;&gt;"36 送付中"),1,0))</f>
        <v/>
      </c>
      <c r="AO1739" s="7" t="str">
        <f aca="false">IF(A1739="","",IF(AG1739&lt;&gt;"",1,0))</f>
        <v/>
      </c>
    </row>
    <row r="1740" customFormat="false" ht="15" hidden="false" customHeight="false" outlineLevel="0" collapsed="false">
      <c r="AL1740" s="7" t="str">
        <f aca="false">IF(A1740="","",IF(COUNTIF(A1740:A$2001,A1740)=1,1,0))</f>
        <v/>
      </c>
      <c r="AM1740" s="7" t="str">
        <f aca="true">IF(I1740="","",TODAY()-I1740)</f>
        <v/>
      </c>
      <c r="AN1740" s="7" t="str">
        <f aca="false">IF(A1740="","",IF(AND(E1740&lt;&gt;"33 確認済",E1740&lt;&gt;"36 送付中"),1,0))</f>
        <v/>
      </c>
      <c r="AO1740" s="7" t="str">
        <f aca="false">IF(A1740="","",IF(AG1740&lt;&gt;"",1,0))</f>
        <v/>
      </c>
    </row>
    <row r="1741" customFormat="false" ht="15" hidden="false" customHeight="false" outlineLevel="0" collapsed="false">
      <c r="AL1741" s="7" t="str">
        <f aca="false">IF(A1741="","",IF(COUNTIF(A1741:A$2001,A1741)=1,1,0))</f>
        <v/>
      </c>
      <c r="AM1741" s="7" t="str">
        <f aca="true">IF(I1741="","",TODAY()-I1741)</f>
        <v/>
      </c>
      <c r="AN1741" s="7" t="str">
        <f aca="false">IF(A1741="","",IF(AND(E1741&lt;&gt;"33 確認済",E1741&lt;&gt;"36 送付中"),1,0))</f>
        <v/>
      </c>
      <c r="AO1741" s="7" t="str">
        <f aca="false">IF(A1741="","",IF(AG1741&lt;&gt;"",1,0))</f>
        <v/>
      </c>
    </row>
    <row r="1742" customFormat="false" ht="15" hidden="false" customHeight="false" outlineLevel="0" collapsed="false">
      <c r="AL1742" s="7" t="str">
        <f aca="false">IF(A1742="","",IF(COUNTIF(A1742:A$2001,A1742)=1,1,0))</f>
        <v/>
      </c>
      <c r="AM1742" s="7" t="str">
        <f aca="true">IF(I1742="","",TODAY()-I1742)</f>
        <v/>
      </c>
      <c r="AN1742" s="7" t="str">
        <f aca="false">IF(A1742="","",IF(AND(E1742&lt;&gt;"33 確認済",E1742&lt;&gt;"36 送付中"),1,0))</f>
        <v/>
      </c>
      <c r="AO1742" s="7" t="str">
        <f aca="false">IF(A1742="","",IF(AG1742&lt;&gt;"",1,0))</f>
        <v/>
      </c>
    </row>
    <row r="1743" customFormat="false" ht="15" hidden="false" customHeight="false" outlineLevel="0" collapsed="false">
      <c r="AL1743" s="7" t="str">
        <f aca="false">IF(A1743="","",IF(COUNTIF(A1743:A$2001,A1743)=1,1,0))</f>
        <v/>
      </c>
      <c r="AM1743" s="7" t="str">
        <f aca="true">IF(I1743="","",TODAY()-I1743)</f>
        <v/>
      </c>
      <c r="AN1743" s="7" t="str">
        <f aca="false">IF(A1743="","",IF(AND(E1743&lt;&gt;"33 確認済",E1743&lt;&gt;"36 送付中"),1,0))</f>
        <v/>
      </c>
      <c r="AO1743" s="7" t="str">
        <f aca="false">IF(A1743="","",IF(AG1743&lt;&gt;"",1,0))</f>
        <v/>
      </c>
    </row>
    <row r="1744" customFormat="false" ht="15" hidden="false" customHeight="false" outlineLevel="0" collapsed="false">
      <c r="AL1744" s="7" t="str">
        <f aca="false">IF(A1744="","",IF(COUNTIF(A1744:A$2001,A1744)=1,1,0))</f>
        <v/>
      </c>
      <c r="AM1744" s="7" t="str">
        <f aca="true">IF(I1744="","",TODAY()-I1744)</f>
        <v/>
      </c>
      <c r="AN1744" s="7" t="str">
        <f aca="false">IF(A1744="","",IF(AND(E1744&lt;&gt;"33 確認済",E1744&lt;&gt;"36 送付中"),1,0))</f>
        <v/>
      </c>
      <c r="AO1744" s="7" t="str">
        <f aca="false">IF(A1744="","",IF(AG1744&lt;&gt;"",1,0))</f>
        <v/>
      </c>
    </row>
    <row r="1745" customFormat="false" ht="15" hidden="false" customHeight="false" outlineLevel="0" collapsed="false">
      <c r="AL1745" s="7" t="str">
        <f aca="false">IF(A1745="","",IF(COUNTIF(A1745:A$2001,A1745)=1,1,0))</f>
        <v/>
      </c>
      <c r="AM1745" s="7" t="str">
        <f aca="true">IF(I1745="","",TODAY()-I1745)</f>
        <v/>
      </c>
      <c r="AN1745" s="7" t="str">
        <f aca="false">IF(A1745="","",IF(AND(E1745&lt;&gt;"33 確認済",E1745&lt;&gt;"36 送付中"),1,0))</f>
        <v/>
      </c>
      <c r="AO1745" s="7" t="str">
        <f aca="false">IF(A1745="","",IF(AG1745&lt;&gt;"",1,0))</f>
        <v/>
      </c>
    </row>
    <row r="1746" customFormat="false" ht="15" hidden="false" customHeight="false" outlineLevel="0" collapsed="false">
      <c r="AL1746" s="7" t="str">
        <f aca="false">IF(A1746="","",IF(COUNTIF(A1746:A$2001,A1746)=1,1,0))</f>
        <v/>
      </c>
      <c r="AM1746" s="7" t="str">
        <f aca="true">IF(I1746="","",TODAY()-I1746)</f>
        <v/>
      </c>
      <c r="AN1746" s="7" t="str">
        <f aca="false">IF(A1746="","",IF(AND(E1746&lt;&gt;"33 確認済",E1746&lt;&gt;"36 送付中"),1,0))</f>
        <v/>
      </c>
      <c r="AO1746" s="7" t="str">
        <f aca="false">IF(A1746="","",IF(AG1746&lt;&gt;"",1,0))</f>
        <v/>
      </c>
    </row>
    <row r="1747" customFormat="false" ht="15" hidden="false" customHeight="false" outlineLevel="0" collapsed="false">
      <c r="AL1747" s="7" t="str">
        <f aca="false">IF(A1747="","",IF(COUNTIF(A1747:A$2001,A1747)=1,1,0))</f>
        <v/>
      </c>
      <c r="AM1747" s="7" t="str">
        <f aca="true">IF(I1747="","",TODAY()-I1747)</f>
        <v/>
      </c>
      <c r="AN1747" s="7" t="str">
        <f aca="false">IF(A1747="","",IF(AND(E1747&lt;&gt;"33 確認済",E1747&lt;&gt;"36 送付中"),1,0))</f>
        <v/>
      </c>
      <c r="AO1747" s="7" t="str">
        <f aca="false">IF(A1747="","",IF(AG1747&lt;&gt;"",1,0))</f>
        <v/>
      </c>
    </row>
    <row r="1748" customFormat="false" ht="15" hidden="false" customHeight="false" outlineLevel="0" collapsed="false">
      <c r="AL1748" s="7" t="str">
        <f aca="false">IF(A1748="","",IF(COUNTIF(A1748:A$2001,A1748)=1,1,0))</f>
        <v/>
      </c>
      <c r="AM1748" s="7" t="str">
        <f aca="true">IF(I1748="","",TODAY()-I1748)</f>
        <v/>
      </c>
      <c r="AN1748" s="7" t="str">
        <f aca="false">IF(A1748="","",IF(AND(E1748&lt;&gt;"33 確認済",E1748&lt;&gt;"36 送付中"),1,0))</f>
        <v/>
      </c>
      <c r="AO1748" s="7" t="str">
        <f aca="false">IF(A1748="","",IF(AG1748&lt;&gt;"",1,0))</f>
        <v/>
      </c>
    </row>
    <row r="1749" customFormat="false" ht="15" hidden="false" customHeight="false" outlineLevel="0" collapsed="false">
      <c r="AL1749" s="7" t="str">
        <f aca="false">IF(A1749="","",IF(COUNTIF(A1749:A$2001,A1749)=1,1,0))</f>
        <v/>
      </c>
      <c r="AM1749" s="7" t="str">
        <f aca="true">IF(I1749="","",TODAY()-I1749)</f>
        <v/>
      </c>
      <c r="AN1749" s="7" t="str">
        <f aca="false">IF(A1749="","",IF(AND(E1749&lt;&gt;"33 確認済",E1749&lt;&gt;"36 送付中"),1,0))</f>
        <v/>
      </c>
      <c r="AO1749" s="7" t="str">
        <f aca="false">IF(A1749="","",IF(AG1749&lt;&gt;"",1,0))</f>
        <v/>
      </c>
    </row>
    <row r="1750" customFormat="false" ht="15" hidden="false" customHeight="false" outlineLevel="0" collapsed="false">
      <c r="AL1750" s="7" t="str">
        <f aca="false">IF(A1750="","",IF(COUNTIF(A1750:A$2001,A1750)=1,1,0))</f>
        <v/>
      </c>
      <c r="AM1750" s="7" t="str">
        <f aca="true">IF(I1750="","",TODAY()-I1750)</f>
        <v/>
      </c>
      <c r="AN1750" s="7" t="str">
        <f aca="false">IF(A1750="","",IF(AND(E1750&lt;&gt;"33 確認済",E1750&lt;&gt;"36 送付中"),1,0))</f>
        <v/>
      </c>
      <c r="AO1750" s="7" t="str">
        <f aca="false">IF(A1750="","",IF(AG1750&lt;&gt;"",1,0))</f>
        <v/>
      </c>
    </row>
    <row r="1751" customFormat="false" ht="15" hidden="false" customHeight="false" outlineLevel="0" collapsed="false">
      <c r="AL1751" s="7" t="str">
        <f aca="false">IF(A1751="","",IF(COUNTIF(A1751:A$2001,A1751)=1,1,0))</f>
        <v/>
      </c>
      <c r="AM1751" s="7" t="str">
        <f aca="true">IF(I1751="","",TODAY()-I1751)</f>
        <v/>
      </c>
      <c r="AN1751" s="7" t="str">
        <f aca="false">IF(A1751="","",IF(AND(E1751&lt;&gt;"33 確認済",E1751&lt;&gt;"36 送付中"),1,0))</f>
        <v/>
      </c>
      <c r="AO1751" s="7" t="str">
        <f aca="false">IF(A1751="","",IF(AG1751&lt;&gt;"",1,0))</f>
        <v/>
      </c>
    </row>
    <row r="1752" customFormat="false" ht="15" hidden="false" customHeight="false" outlineLevel="0" collapsed="false">
      <c r="AL1752" s="7" t="str">
        <f aca="false">IF(A1752="","",IF(COUNTIF(A1752:A$2001,A1752)=1,1,0))</f>
        <v/>
      </c>
      <c r="AM1752" s="7" t="str">
        <f aca="true">IF(I1752="","",TODAY()-I1752)</f>
        <v/>
      </c>
      <c r="AN1752" s="7" t="str">
        <f aca="false">IF(A1752="","",IF(AND(E1752&lt;&gt;"33 確認済",E1752&lt;&gt;"36 送付中"),1,0))</f>
        <v/>
      </c>
      <c r="AO1752" s="7" t="str">
        <f aca="false">IF(A1752="","",IF(AG1752&lt;&gt;"",1,0))</f>
        <v/>
      </c>
    </row>
    <row r="1753" customFormat="false" ht="15" hidden="false" customHeight="false" outlineLevel="0" collapsed="false">
      <c r="AL1753" s="7" t="str">
        <f aca="false">IF(A1753="","",IF(COUNTIF(A1753:A$2001,A1753)=1,1,0))</f>
        <v/>
      </c>
      <c r="AM1753" s="7" t="str">
        <f aca="true">IF(I1753="","",TODAY()-I1753)</f>
        <v/>
      </c>
      <c r="AN1753" s="7" t="str">
        <f aca="false">IF(A1753="","",IF(AND(E1753&lt;&gt;"33 確認済",E1753&lt;&gt;"36 送付中"),1,0))</f>
        <v/>
      </c>
      <c r="AO1753" s="7" t="str">
        <f aca="false">IF(A1753="","",IF(AG1753&lt;&gt;"",1,0))</f>
        <v/>
      </c>
    </row>
    <row r="1754" customFormat="false" ht="15" hidden="false" customHeight="false" outlineLevel="0" collapsed="false">
      <c r="AL1754" s="7" t="str">
        <f aca="false">IF(A1754="","",IF(COUNTIF(A1754:A$2001,A1754)=1,1,0))</f>
        <v/>
      </c>
      <c r="AM1754" s="7" t="str">
        <f aca="true">IF(I1754="","",TODAY()-I1754)</f>
        <v/>
      </c>
      <c r="AN1754" s="7" t="str">
        <f aca="false">IF(A1754="","",IF(AND(E1754&lt;&gt;"33 確認済",E1754&lt;&gt;"36 送付中"),1,0))</f>
        <v/>
      </c>
      <c r="AO1754" s="7" t="str">
        <f aca="false">IF(A1754="","",IF(AG1754&lt;&gt;"",1,0))</f>
        <v/>
      </c>
    </row>
    <row r="1755" customFormat="false" ht="15" hidden="false" customHeight="false" outlineLevel="0" collapsed="false">
      <c r="AL1755" s="7" t="str">
        <f aca="false">IF(A1755="","",IF(COUNTIF(A1755:A$2001,A1755)=1,1,0))</f>
        <v/>
      </c>
      <c r="AM1755" s="7" t="str">
        <f aca="true">IF(I1755="","",TODAY()-I1755)</f>
        <v/>
      </c>
      <c r="AN1755" s="7" t="str">
        <f aca="false">IF(A1755="","",IF(AND(E1755&lt;&gt;"33 確認済",E1755&lt;&gt;"36 送付中"),1,0))</f>
        <v/>
      </c>
      <c r="AO1755" s="7" t="str">
        <f aca="false">IF(A1755="","",IF(AG1755&lt;&gt;"",1,0))</f>
        <v/>
      </c>
    </row>
    <row r="1756" customFormat="false" ht="15" hidden="false" customHeight="false" outlineLevel="0" collapsed="false">
      <c r="AL1756" s="7" t="str">
        <f aca="false">IF(A1756="","",IF(COUNTIF(A1756:A$2001,A1756)=1,1,0))</f>
        <v/>
      </c>
      <c r="AM1756" s="7" t="str">
        <f aca="true">IF(I1756="","",TODAY()-I1756)</f>
        <v/>
      </c>
      <c r="AN1756" s="7" t="str">
        <f aca="false">IF(A1756="","",IF(AND(E1756&lt;&gt;"33 確認済",E1756&lt;&gt;"36 送付中"),1,0))</f>
        <v/>
      </c>
      <c r="AO1756" s="7" t="str">
        <f aca="false">IF(A1756="","",IF(AG1756&lt;&gt;"",1,0))</f>
        <v/>
      </c>
    </row>
    <row r="1757" customFormat="false" ht="15" hidden="false" customHeight="false" outlineLevel="0" collapsed="false">
      <c r="AL1757" s="7" t="str">
        <f aca="false">IF(A1757="","",IF(COUNTIF(A1757:A$2001,A1757)=1,1,0))</f>
        <v/>
      </c>
      <c r="AM1757" s="7" t="str">
        <f aca="true">IF(I1757="","",TODAY()-I1757)</f>
        <v/>
      </c>
      <c r="AN1757" s="7" t="str">
        <f aca="false">IF(A1757="","",IF(AND(E1757&lt;&gt;"33 確認済",E1757&lt;&gt;"36 送付中"),1,0))</f>
        <v/>
      </c>
      <c r="AO1757" s="7" t="str">
        <f aca="false">IF(A1757="","",IF(AG1757&lt;&gt;"",1,0))</f>
        <v/>
      </c>
    </row>
    <row r="1758" customFormat="false" ht="15" hidden="false" customHeight="false" outlineLevel="0" collapsed="false">
      <c r="AL1758" s="7" t="str">
        <f aca="false">IF(A1758="","",IF(COUNTIF(A1758:A$2001,A1758)=1,1,0))</f>
        <v/>
      </c>
      <c r="AM1758" s="7" t="str">
        <f aca="true">IF(I1758="","",TODAY()-I1758)</f>
        <v/>
      </c>
      <c r="AN1758" s="7" t="str">
        <f aca="false">IF(A1758="","",IF(AND(E1758&lt;&gt;"33 確認済",E1758&lt;&gt;"36 送付中"),1,0))</f>
        <v/>
      </c>
      <c r="AO1758" s="7" t="str">
        <f aca="false">IF(A1758="","",IF(AG1758&lt;&gt;"",1,0))</f>
        <v/>
      </c>
    </row>
    <row r="1759" customFormat="false" ht="15" hidden="false" customHeight="false" outlineLevel="0" collapsed="false">
      <c r="AL1759" s="7" t="str">
        <f aca="false">IF(A1759="","",IF(COUNTIF(A1759:A$2001,A1759)=1,1,0))</f>
        <v/>
      </c>
      <c r="AM1759" s="7" t="str">
        <f aca="true">IF(I1759="","",TODAY()-I1759)</f>
        <v/>
      </c>
      <c r="AN1759" s="7" t="str">
        <f aca="false">IF(A1759="","",IF(AND(E1759&lt;&gt;"33 確認済",E1759&lt;&gt;"36 送付中"),1,0))</f>
        <v/>
      </c>
      <c r="AO1759" s="7" t="str">
        <f aca="false">IF(A1759="","",IF(AG1759&lt;&gt;"",1,0))</f>
        <v/>
      </c>
    </row>
    <row r="1760" customFormat="false" ht="15" hidden="false" customHeight="false" outlineLevel="0" collapsed="false">
      <c r="AL1760" s="7" t="str">
        <f aca="false">IF(A1760="","",IF(COUNTIF(A1760:A$2001,A1760)=1,1,0))</f>
        <v/>
      </c>
      <c r="AM1760" s="7" t="str">
        <f aca="true">IF(I1760="","",TODAY()-I1760)</f>
        <v/>
      </c>
      <c r="AN1760" s="7" t="str">
        <f aca="false">IF(A1760="","",IF(AND(E1760&lt;&gt;"33 確認済",E1760&lt;&gt;"36 送付中"),1,0))</f>
        <v/>
      </c>
      <c r="AO1760" s="7" t="str">
        <f aca="false">IF(A1760="","",IF(AG1760&lt;&gt;"",1,0))</f>
        <v/>
      </c>
    </row>
    <row r="1761" customFormat="false" ht="15" hidden="false" customHeight="false" outlineLevel="0" collapsed="false">
      <c r="AL1761" s="7" t="str">
        <f aca="false">IF(A1761="","",IF(COUNTIF(A1761:A$2001,A1761)=1,1,0))</f>
        <v/>
      </c>
      <c r="AM1761" s="7" t="str">
        <f aca="true">IF(I1761="","",TODAY()-I1761)</f>
        <v/>
      </c>
      <c r="AN1761" s="7" t="str">
        <f aca="false">IF(A1761="","",IF(AND(E1761&lt;&gt;"33 確認済",E1761&lt;&gt;"36 送付中"),1,0))</f>
        <v/>
      </c>
      <c r="AO1761" s="7" t="str">
        <f aca="false">IF(A1761="","",IF(AG1761&lt;&gt;"",1,0))</f>
        <v/>
      </c>
    </row>
    <row r="1762" customFormat="false" ht="15" hidden="false" customHeight="false" outlineLevel="0" collapsed="false">
      <c r="AL1762" s="7" t="str">
        <f aca="false">IF(A1762="","",IF(COUNTIF(A1762:A$2001,A1762)=1,1,0))</f>
        <v/>
      </c>
      <c r="AM1762" s="7" t="str">
        <f aca="true">IF(I1762="","",TODAY()-I1762)</f>
        <v/>
      </c>
      <c r="AN1762" s="7" t="str">
        <f aca="false">IF(A1762="","",IF(AND(E1762&lt;&gt;"33 確認済",E1762&lt;&gt;"36 送付中"),1,0))</f>
        <v/>
      </c>
      <c r="AO1762" s="7" t="str">
        <f aca="false">IF(A1762="","",IF(AG1762&lt;&gt;"",1,0))</f>
        <v/>
      </c>
    </row>
    <row r="1763" customFormat="false" ht="15" hidden="false" customHeight="false" outlineLevel="0" collapsed="false">
      <c r="AL1763" s="7" t="str">
        <f aca="false">IF(A1763="","",IF(COUNTIF(A1763:A$2001,A1763)=1,1,0))</f>
        <v/>
      </c>
      <c r="AM1763" s="7" t="str">
        <f aca="true">IF(I1763="","",TODAY()-I1763)</f>
        <v/>
      </c>
      <c r="AN1763" s="7" t="str">
        <f aca="false">IF(A1763="","",IF(AND(E1763&lt;&gt;"33 確認済",E1763&lt;&gt;"36 送付中"),1,0))</f>
        <v/>
      </c>
      <c r="AO1763" s="7" t="str">
        <f aca="false">IF(A1763="","",IF(AG1763&lt;&gt;"",1,0))</f>
        <v/>
      </c>
    </row>
    <row r="1764" customFormat="false" ht="15" hidden="false" customHeight="false" outlineLevel="0" collapsed="false">
      <c r="AL1764" s="7" t="str">
        <f aca="false">IF(A1764="","",IF(COUNTIF(A1764:A$2001,A1764)=1,1,0))</f>
        <v/>
      </c>
      <c r="AM1764" s="7" t="str">
        <f aca="true">IF(I1764="","",TODAY()-I1764)</f>
        <v/>
      </c>
      <c r="AN1764" s="7" t="str">
        <f aca="false">IF(A1764="","",IF(AND(E1764&lt;&gt;"33 確認済",E1764&lt;&gt;"36 送付中"),1,0))</f>
        <v/>
      </c>
      <c r="AO1764" s="7" t="str">
        <f aca="false">IF(A1764="","",IF(AG1764&lt;&gt;"",1,0))</f>
        <v/>
      </c>
    </row>
    <row r="1765" customFormat="false" ht="15" hidden="false" customHeight="false" outlineLevel="0" collapsed="false">
      <c r="AL1765" s="7" t="str">
        <f aca="false">IF(A1765="","",IF(COUNTIF(A1765:A$2001,A1765)=1,1,0))</f>
        <v/>
      </c>
      <c r="AM1765" s="7" t="str">
        <f aca="true">IF(I1765="","",TODAY()-I1765)</f>
        <v/>
      </c>
      <c r="AN1765" s="7" t="str">
        <f aca="false">IF(A1765="","",IF(AND(E1765&lt;&gt;"33 確認済",E1765&lt;&gt;"36 送付中"),1,0))</f>
        <v/>
      </c>
      <c r="AO1765" s="7" t="str">
        <f aca="false">IF(A1765="","",IF(AG1765&lt;&gt;"",1,0))</f>
        <v/>
      </c>
    </row>
    <row r="1766" customFormat="false" ht="15" hidden="false" customHeight="false" outlineLevel="0" collapsed="false">
      <c r="AL1766" s="7" t="str">
        <f aca="false">IF(A1766="","",IF(COUNTIF(A1766:A$2001,A1766)=1,1,0))</f>
        <v/>
      </c>
      <c r="AM1766" s="7" t="str">
        <f aca="true">IF(I1766="","",TODAY()-I1766)</f>
        <v/>
      </c>
      <c r="AN1766" s="7" t="str">
        <f aca="false">IF(A1766="","",IF(AND(E1766&lt;&gt;"33 確認済",E1766&lt;&gt;"36 送付中"),1,0))</f>
        <v/>
      </c>
      <c r="AO1766" s="7" t="str">
        <f aca="false">IF(A1766="","",IF(AG1766&lt;&gt;"",1,0))</f>
        <v/>
      </c>
    </row>
    <row r="1767" customFormat="false" ht="15" hidden="false" customHeight="false" outlineLevel="0" collapsed="false">
      <c r="AL1767" s="7" t="str">
        <f aca="false">IF(A1767="","",IF(COUNTIF(A1767:A$2001,A1767)=1,1,0))</f>
        <v/>
      </c>
      <c r="AM1767" s="7" t="str">
        <f aca="true">IF(I1767="","",TODAY()-I1767)</f>
        <v/>
      </c>
      <c r="AN1767" s="7" t="str">
        <f aca="false">IF(A1767="","",IF(AND(E1767&lt;&gt;"33 確認済",E1767&lt;&gt;"36 送付中"),1,0))</f>
        <v/>
      </c>
      <c r="AO1767" s="7" t="str">
        <f aca="false">IF(A1767="","",IF(AG1767&lt;&gt;"",1,0))</f>
        <v/>
      </c>
    </row>
    <row r="1768" customFormat="false" ht="15" hidden="false" customHeight="false" outlineLevel="0" collapsed="false">
      <c r="AL1768" s="7" t="str">
        <f aca="false">IF(A1768="","",IF(COUNTIF(A1768:A$2001,A1768)=1,1,0))</f>
        <v/>
      </c>
      <c r="AM1768" s="7" t="str">
        <f aca="true">IF(I1768="","",TODAY()-I1768)</f>
        <v/>
      </c>
      <c r="AN1768" s="7" t="str">
        <f aca="false">IF(A1768="","",IF(AND(E1768&lt;&gt;"33 確認済",E1768&lt;&gt;"36 送付中"),1,0))</f>
        <v/>
      </c>
      <c r="AO1768" s="7" t="str">
        <f aca="false">IF(A1768="","",IF(AG1768&lt;&gt;"",1,0))</f>
        <v/>
      </c>
    </row>
    <row r="1769" customFormat="false" ht="15" hidden="false" customHeight="false" outlineLevel="0" collapsed="false">
      <c r="AL1769" s="7" t="str">
        <f aca="false">IF(A1769="","",IF(COUNTIF(A1769:A$2001,A1769)=1,1,0))</f>
        <v/>
      </c>
      <c r="AM1769" s="7" t="str">
        <f aca="true">IF(I1769="","",TODAY()-I1769)</f>
        <v/>
      </c>
      <c r="AN1769" s="7" t="str">
        <f aca="false">IF(A1769="","",IF(AND(E1769&lt;&gt;"33 確認済",E1769&lt;&gt;"36 送付中"),1,0))</f>
        <v/>
      </c>
      <c r="AO1769" s="7" t="str">
        <f aca="false">IF(A1769="","",IF(AG1769&lt;&gt;"",1,0))</f>
        <v/>
      </c>
    </row>
    <row r="1770" customFormat="false" ht="15" hidden="false" customHeight="false" outlineLevel="0" collapsed="false">
      <c r="AL1770" s="7" t="str">
        <f aca="false">IF(A1770="","",IF(COUNTIF(A1770:A$2001,A1770)=1,1,0))</f>
        <v/>
      </c>
      <c r="AM1770" s="7" t="str">
        <f aca="true">IF(I1770="","",TODAY()-I1770)</f>
        <v/>
      </c>
      <c r="AN1770" s="7" t="str">
        <f aca="false">IF(A1770="","",IF(AND(E1770&lt;&gt;"33 確認済",E1770&lt;&gt;"36 送付中"),1,0))</f>
        <v/>
      </c>
      <c r="AO1770" s="7" t="str">
        <f aca="false">IF(A1770="","",IF(AG1770&lt;&gt;"",1,0))</f>
        <v/>
      </c>
    </row>
    <row r="1771" customFormat="false" ht="15" hidden="false" customHeight="false" outlineLevel="0" collapsed="false">
      <c r="AL1771" s="7" t="str">
        <f aca="false">IF(A1771="","",IF(COUNTIF(A1771:A$2001,A1771)=1,1,0))</f>
        <v/>
      </c>
      <c r="AM1771" s="7" t="str">
        <f aca="true">IF(I1771="","",TODAY()-I1771)</f>
        <v/>
      </c>
      <c r="AN1771" s="7" t="str">
        <f aca="false">IF(A1771="","",IF(AND(E1771&lt;&gt;"33 確認済",E1771&lt;&gt;"36 送付中"),1,0))</f>
        <v/>
      </c>
      <c r="AO1771" s="7" t="str">
        <f aca="false">IF(A1771="","",IF(AG1771&lt;&gt;"",1,0))</f>
        <v/>
      </c>
    </row>
    <row r="1772" customFormat="false" ht="15" hidden="false" customHeight="false" outlineLevel="0" collapsed="false">
      <c r="AL1772" s="7" t="str">
        <f aca="false">IF(A1772="","",IF(COUNTIF(A1772:A$2001,A1772)=1,1,0))</f>
        <v/>
      </c>
      <c r="AM1772" s="7" t="str">
        <f aca="true">IF(I1772="","",TODAY()-I1772)</f>
        <v/>
      </c>
      <c r="AN1772" s="7" t="str">
        <f aca="false">IF(A1772="","",IF(AND(E1772&lt;&gt;"33 確認済",E1772&lt;&gt;"36 送付中"),1,0))</f>
        <v/>
      </c>
      <c r="AO1772" s="7" t="str">
        <f aca="false">IF(A1772="","",IF(AG1772&lt;&gt;"",1,0))</f>
        <v/>
      </c>
    </row>
    <row r="1773" customFormat="false" ht="15" hidden="false" customHeight="false" outlineLevel="0" collapsed="false">
      <c r="AL1773" s="7" t="str">
        <f aca="false">IF(A1773="","",IF(COUNTIF(A1773:A$2001,A1773)=1,1,0))</f>
        <v/>
      </c>
      <c r="AM1773" s="7" t="str">
        <f aca="true">IF(I1773="","",TODAY()-I1773)</f>
        <v/>
      </c>
      <c r="AN1773" s="7" t="str">
        <f aca="false">IF(A1773="","",IF(AND(E1773&lt;&gt;"33 確認済",E1773&lt;&gt;"36 送付中"),1,0))</f>
        <v/>
      </c>
      <c r="AO1773" s="7" t="str">
        <f aca="false">IF(A1773="","",IF(AG1773&lt;&gt;"",1,0))</f>
        <v/>
      </c>
    </row>
    <row r="1774" customFormat="false" ht="15" hidden="false" customHeight="false" outlineLevel="0" collapsed="false">
      <c r="AL1774" s="7" t="str">
        <f aca="false">IF(A1774="","",IF(COUNTIF(A1774:A$2001,A1774)=1,1,0))</f>
        <v/>
      </c>
      <c r="AM1774" s="7" t="str">
        <f aca="true">IF(I1774="","",TODAY()-I1774)</f>
        <v/>
      </c>
      <c r="AN1774" s="7" t="str">
        <f aca="false">IF(A1774="","",IF(AND(E1774&lt;&gt;"33 確認済",E1774&lt;&gt;"36 送付中"),1,0))</f>
        <v/>
      </c>
      <c r="AO1774" s="7" t="str">
        <f aca="false">IF(A1774="","",IF(AG1774&lt;&gt;"",1,0))</f>
        <v/>
      </c>
    </row>
    <row r="1775" customFormat="false" ht="15" hidden="false" customHeight="false" outlineLevel="0" collapsed="false">
      <c r="AL1775" s="7" t="str">
        <f aca="false">IF(A1775="","",IF(COUNTIF(A1775:A$2001,A1775)=1,1,0))</f>
        <v/>
      </c>
      <c r="AM1775" s="7" t="str">
        <f aca="true">IF(I1775="","",TODAY()-I1775)</f>
        <v/>
      </c>
      <c r="AN1775" s="7" t="str">
        <f aca="false">IF(A1775="","",IF(AND(E1775&lt;&gt;"33 確認済",E1775&lt;&gt;"36 送付中"),1,0))</f>
        <v/>
      </c>
      <c r="AO1775" s="7" t="str">
        <f aca="false">IF(A1775="","",IF(AG1775&lt;&gt;"",1,0))</f>
        <v/>
      </c>
    </row>
    <row r="1776" customFormat="false" ht="15" hidden="false" customHeight="false" outlineLevel="0" collapsed="false">
      <c r="AL1776" s="7" t="str">
        <f aca="false">IF(A1776="","",IF(COUNTIF(A1776:A$2001,A1776)=1,1,0))</f>
        <v/>
      </c>
      <c r="AM1776" s="7" t="str">
        <f aca="true">IF(I1776="","",TODAY()-I1776)</f>
        <v/>
      </c>
      <c r="AN1776" s="7" t="str">
        <f aca="false">IF(A1776="","",IF(AND(E1776&lt;&gt;"33 確認済",E1776&lt;&gt;"36 送付中"),1,0))</f>
        <v/>
      </c>
      <c r="AO1776" s="7" t="str">
        <f aca="false">IF(A1776="","",IF(AG1776&lt;&gt;"",1,0))</f>
        <v/>
      </c>
    </row>
    <row r="1777" customFormat="false" ht="15" hidden="false" customHeight="false" outlineLevel="0" collapsed="false">
      <c r="AL1777" s="7" t="str">
        <f aca="false">IF(A1777="","",IF(COUNTIF(A1777:A$2001,A1777)=1,1,0))</f>
        <v/>
      </c>
      <c r="AM1777" s="7" t="str">
        <f aca="true">IF(I1777="","",TODAY()-I1777)</f>
        <v/>
      </c>
      <c r="AN1777" s="7" t="str">
        <f aca="false">IF(A1777="","",IF(AND(E1777&lt;&gt;"33 確認済",E1777&lt;&gt;"36 送付中"),1,0))</f>
        <v/>
      </c>
      <c r="AO1777" s="7" t="str">
        <f aca="false">IF(A1777="","",IF(AG1777&lt;&gt;"",1,0))</f>
        <v/>
      </c>
    </row>
    <row r="1778" customFormat="false" ht="15" hidden="false" customHeight="false" outlineLevel="0" collapsed="false">
      <c r="AL1778" s="7" t="str">
        <f aca="false">IF(A1778="","",IF(COUNTIF(A1778:A$2001,A1778)=1,1,0))</f>
        <v/>
      </c>
      <c r="AM1778" s="7" t="str">
        <f aca="true">IF(I1778="","",TODAY()-I1778)</f>
        <v/>
      </c>
      <c r="AN1778" s="7" t="str">
        <f aca="false">IF(A1778="","",IF(AND(E1778&lt;&gt;"33 確認済",E1778&lt;&gt;"36 送付中"),1,0))</f>
        <v/>
      </c>
      <c r="AO1778" s="7" t="str">
        <f aca="false">IF(A1778="","",IF(AG1778&lt;&gt;"",1,0))</f>
        <v/>
      </c>
    </row>
    <row r="1779" customFormat="false" ht="15" hidden="false" customHeight="false" outlineLevel="0" collapsed="false">
      <c r="AL1779" s="7" t="str">
        <f aca="false">IF(A1779="","",IF(COUNTIF(A1779:A$2001,A1779)=1,1,0))</f>
        <v/>
      </c>
      <c r="AM1779" s="7" t="str">
        <f aca="true">IF(I1779="","",TODAY()-I1779)</f>
        <v/>
      </c>
      <c r="AN1779" s="7" t="str">
        <f aca="false">IF(A1779="","",IF(AND(E1779&lt;&gt;"33 確認済",E1779&lt;&gt;"36 送付中"),1,0))</f>
        <v/>
      </c>
      <c r="AO1779" s="7" t="str">
        <f aca="false">IF(A1779="","",IF(AG1779&lt;&gt;"",1,0))</f>
        <v/>
      </c>
    </row>
    <row r="1780" customFormat="false" ht="15" hidden="false" customHeight="false" outlineLevel="0" collapsed="false">
      <c r="AL1780" s="7" t="str">
        <f aca="false">IF(A1780="","",IF(COUNTIF(A1780:A$2001,A1780)=1,1,0))</f>
        <v/>
      </c>
      <c r="AM1780" s="7" t="str">
        <f aca="true">IF(I1780="","",TODAY()-I1780)</f>
        <v/>
      </c>
      <c r="AN1780" s="7" t="str">
        <f aca="false">IF(A1780="","",IF(AND(E1780&lt;&gt;"33 確認済",E1780&lt;&gt;"36 送付中"),1,0))</f>
        <v/>
      </c>
      <c r="AO1780" s="7" t="str">
        <f aca="false">IF(A1780="","",IF(AG1780&lt;&gt;"",1,0))</f>
        <v/>
      </c>
    </row>
    <row r="1781" customFormat="false" ht="15" hidden="false" customHeight="false" outlineLevel="0" collapsed="false">
      <c r="AL1781" s="7" t="str">
        <f aca="false">IF(A1781="","",IF(COUNTIF(A1781:A$2001,A1781)=1,1,0))</f>
        <v/>
      </c>
      <c r="AM1781" s="7" t="str">
        <f aca="true">IF(I1781="","",TODAY()-I1781)</f>
        <v/>
      </c>
      <c r="AN1781" s="7" t="str">
        <f aca="false">IF(A1781="","",IF(AND(E1781&lt;&gt;"33 確認済",E1781&lt;&gt;"36 送付中"),1,0))</f>
        <v/>
      </c>
      <c r="AO1781" s="7" t="str">
        <f aca="false">IF(A1781="","",IF(AG1781&lt;&gt;"",1,0))</f>
        <v/>
      </c>
    </row>
    <row r="1782" customFormat="false" ht="15" hidden="false" customHeight="false" outlineLevel="0" collapsed="false">
      <c r="AL1782" s="7" t="str">
        <f aca="false">IF(A1782="","",IF(COUNTIF(A1782:A$2001,A1782)=1,1,0))</f>
        <v/>
      </c>
      <c r="AM1782" s="7" t="str">
        <f aca="true">IF(I1782="","",TODAY()-I1782)</f>
        <v/>
      </c>
      <c r="AN1782" s="7" t="str">
        <f aca="false">IF(A1782="","",IF(AND(E1782&lt;&gt;"33 確認済",E1782&lt;&gt;"36 送付中"),1,0))</f>
        <v/>
      </c>
      <c r="AO1782" s="7" t="str">
        <f aca="false">IF(A1782="","",IF(AG1782&lt;&gt;"",1,0))</f>
        <v/>
      </c>
    </row>
    <row r="1783" customFormat="false" ht="15" hidden="false" customHeight="false" outlineLevel="0" collapsed="false">
      <c r="AL1783" s="7" t="str">
        <f aca="false">IF(A1783="","",IF(COUNTIF(A1783:A$2001,A1783)=1,1,0))</f>
        <v/>
      </c>
      <c r="AM1783" s="7" t="str">
        <f aca="true">IF(I1783="","",TODAY()-I1783)</f>
        <v/>
      </c>
      <c r="AN1783" s="7" t="str">
        <f aca="false">IF(A1783="","",IF(AND(E1783&lt;&gt;"33 確認済",E1783&lt;&gt;"36 送付中"),1,0))</f>
        <v/>
      </c>
      <c r="AO1783" s="7" t="str">
        <f aca="false">IF(A1783="","",IF(AG1783&lt;&gt;"",1,0))</f>
        <v/>
      </c>
    </row>
    <row r="1784" customFormat="false" ht="15" hidden="false" customHeight="false" outlineLevel="0" collapsed="false">
      <c r="AL1784" s="7" t="str">
        <f aca="false">IF(A1784="","",IF(COUNTIF(A1784:A$2001,A1784)=1,1,0))</f>
        <v/>
      </c>
      <c r="AM1784" s="7" t="str">
        <f aca="true">IF(I1784="","",TODAY()-I1784)</f>
        <v/>
      </c>
      <c r="AN1784" s="7" t="str">
        <f aca="false">IF(A1784="","",IF(AND(E1784&lt;&gt;"33 確認済",E1784&lt;&gt;"36 送付中"),1,0))</f>
        <v/>
      </c>
      <c r="AO1784" s="7" t="str">
        <f aca="false">IF(A1784="","",IF(AG1784&lt;&gt;"",1,0))</f>
        <v/>
      </c>
    </row>
    <row r="1785" customFormat="false" ht="15" hidden="false" customHeight="false" outlineLevel="0" collapsed="false">
      <c r="AL1785" s="7" t="str">
        <f aca="false">IF(A1785="","",IF(COUNTIF(A1785:A$2001,A1785)=1,1,0))</f>
        <v/>
      </c>
      <c r="AM1785" s="7" t="str">
        <f aca="true">IF(I1785="","",TODAY()-I1785)</f>
        <v/>
      </c>
      <c r="AN1785" s="7" t="str">
        <f aca="false">IF(A1785="","",IF(AND(E1785&lt;&gt;"33 確認済",E1785&lt;&gt;"36 送付中"),1,0))</f>
        <v/>
      </c>
      <c r="AO1785" s="7" t="str">
        <f aca="false">IF(A1785="","",IF(AG1785&lt;&gt;"",1,0))</f>
        <v/>
      </c>
    </row>
    <row r="1786" customFormat="false" ht="15" hidden="false" customHeight="false" outlineLevel="0" collapsed="false">
      <c r="AL1786" s="7" t="str">
        <f aca="false">IF(A1786="","",IF(COUNTIF(A1786:A$2001,A1786)=1,1,0))</f>
        <v/>
      </c>
      <c r="AM1786" s="7" t="str">
        <f aca="true">IF(I1786="","",TODAY()-I1786)</f>
        <v/>
      </c>
      <c r="AN1786" s="7" t="str">
        <f aca="false">IF(A1786="","",IF(AND(E1786&lt;&gt;"33 確認済",E1786&lt;&gt;"36 送付中"),1,0))</f>
        <v/>
      </c>
      <c r="AO1786" s="7" t="str">
        <f aca="false">IF(A1786="","",IF(AG1786&lt;&gt;"",1,0))</f>
        <v/>
      </c>
    </row>
    <row r="1787" customFormat="false" ht="15" hidden="false" customHeight="false" outlineLevel="0" collapsed="false">
      <c r="AL1787" s="7" t="str">
        <f aca="false">IF(A1787="","",IF(COUNTIF(A1787:A$2001,A1787)=1,1,0))</f>
        <v/>
      </c>
      <c r="AM1787" s="7" t="str">
        <f aca="true">IF(I1787="","",TODAY()-I1787)</f>
        <v/>
      </c>
      <c r="AN1787" s="7" t="str">
        <f aca="false">IF(A1787="","",IF(AND(E1787&lt;&gt;"33 確認済",E1787&lt;&gt;"36 送付中"),1,0))</f>
        <v/>
      </c>
      <c r="AO1787" s="7" t="str">
        <f aca="false">IF(A1787="","",IF(AG1787&lt;&gt;"",1,0))</f>
        <v/>
      </c>
    </row>
    <row r="1788" customFormat="false" ht="15" hidden="false" customHeight="false" outlineLevel="0" collapsed="false">
      <c r="AL1788" s="7" t="str">
        <f aca="false">IF(A1788="","",IF(COUNTIF(A1788:A$2001,A1788)=1,1,0))</f>
        <v/>
      </c>
      <c r="AM1788" s="7" t="str">
        <f aca="true">IF(I1788="","",TODAY()-I1788)</f>
        <v/>
      </c>
      <c r="AN1788" s="7" t="str">
        <f aca="false">IF(A1788="","",IF(AND(E1788&lt;&gt;"33 確認済",E1788&lt;&gt;"36 送付中"),1,0))</f>
        <v/>
      </c>
      <c r="AO1788" s="7" t="str">
        <f aca="false">IF(A1788="","",IF(AG1788&lt;&gt;"",1,0))</f>
        <v/>
      </c>
    </row>
    <row r="1789" customFormat="false" ht="15" hidden="false" customHeight="false" outlineLevel="0" collapsed="false">
      <c r="AL1789" s="7" t="str">
        <f aca="false">IF(A1789="","",IF(COUNTIF(A1789:A$2001,A1789)=1,1,0))</f>
        <v/>
      </c>
      <c r="AM1789" s="7" t="str">
        <f aca="true">IF(I1789="","",TODAY()-I1789)</f>
        <v/>
      </c>
      <c r="AN1789" s="7" t="str">
        <f aca="false">IF(A1789="","",IF(AND(E1789&lt;&gt;"33 確認済",E1789&lt;&gt;"36 送付中"),1,0))</f>
        <v/>
      </c>
      <c r="AO1789" s="7" t="str">
        <f aca="false">IF(A1789="","",IF(AG1789&lt;&gt;"",1,0))</f>
        <v/>
      </c>
    </row>
    <row r="1790" customFormat="false" ht="15" hidden="false" customHeight="false" outlineLevel="0" collapsed="false">
      <c r="AL1790" s="7" t="str">
        <f aca="false">IF(A1790="","",IF(COUNTIF(A1790:A$2001,A1790)=1,1,0))</f>
        <v/>
      </c>
      <c r="AM1790" s="7" t="str">
        <f aca="true">IF(I1790="","",TODAY()-I1790)</f>
        <v/>
      </c>
      <c r="AN1790" s="7" t="str">
        <f aca="false">IF(A1790="","",IF(AND(E1790&lt;&gt;"33 確認済",E1790&lt;&gt;"36 送付中"),1,0))</f>
        <v/>
      </c>
      <c r="AO1790" s="7" t="str">
        <f aca="false">IF(A1790="","",IF(AG1790&lt;&gt;"",1,0))</f>
        <v/>
      </c>
    </row>
    <row r="1791" customFormat="false" ht="15" hidden="false" customHeight="false" outlineLevel="0" collapsed="false">
      <c r="AL1791" s="7" t="str">
        <f aca="false">IF(A1791="","",IF(COUNTIF(A1791:A$2001,A1791)=1,1,0))</f>
        <v/>
      </c>
      <c r="AM1791" s="7" t="str">
        <f aca="true">IF(I1791="","",TODAY()-I1791)</f>
        <v/>
      </c>
      <c r="AN1791" s="7" t="str">
        <f aca="false">IF(A1791="","",IF(AND(E1791&lt;&gt;"33 確認済",E1791&lt;&gt;"36 送付中"),1,0))</f>
        <v/>
      </c>
      <c r="AO1791" s="7" t="str">
        <f aca="false">IF(A1791="","",IF(AG1791&lt;&gt;"",1,0))</f>
        <v/>
      </c>
    </row>
    <row r="1792" customFormat="false" ht="15" hidden="false" customHeight="false" outlineLevel="0" collapsed="false">
      <c r="AL1792" s="7" t="str">
        <f aca="false">IF(A1792="","",IF(COUNTIF(A1792:A$2001,A1792)=1,1,0))</f>
        <v/>
      </c>
      <c r="AM1792" s="7" t="str">
        <f aca="true">IF(I1792="","",TODAY()-I1792)</f>
        <v/>
      </c>
      <c r="AN1792" s="7" t="str">
        <f aca="false">IF(A1792="","",IF(AND(E1792&lt;&gt;"33 確認済",E1792&lt;&gt;"36 送付中"),1,0))</f>
        <v/>
      </c>
      <c r="AO1792" s="7" t="str">
        <f aca="false">IF(A1792="","",IF(AG1792&lt;&gt;"",1,0))</f>
        <v/>
      </c>
    </row>
    <row r="1793" customFormat="false" ht="15" hidden="false" customHeight="false" outlineLevel="0" collapsed="false">
      <c r="AL1793" s="7" t="str">
        <f aca="false">IF(A1793="","",IF(COUNTIF(A1793:A$2001,A1793)=1,1,0))</f>
        <v/>
      </c>
      <c r="AM1793" s="7" t="str">
        <f aca="true">IF(I1793="","",TODAY()-I1793)</f>
        <v/>
      </c>
      <c r="AN1793" s="7" t="str">
        <f aca="false">IF(A1793="","",IF(AND(E1793&lt;&gt;"33 確認済",E1793&lt;&gt;"36 送付中"),1,0))</f>
        <v/>
      </c>
      <c r="AO1793" s="7" t="str">
        <f aca="false">IF(A1793="","",IF(AG1793&lt;&gt;"",1,0))</f>
        <v/>
      </c>
    </row>
    <row r="1794" customFormat="false" ht="15" hidden="false" customHeight="false" outlineLevel="0" collapsed="false">
      <c r="AL1794" s="7" t="str">
        <f aca="false">IF(A1794="","",IF(COUNTIF(A1794:A$2001,A1794)=1,1,0))</f>
        <v/>
      </c>
      <c r="AM1794" s="7" t="str">
        <f aca="true">IF(I1794="","",TODAY()-I1794)</f>
        <v/>
      </c>
      <c r="AN1794" s="7" t="str">
        <f aca="false">IF(A1794="","",IF(AND(E1794&lt;&gt;"33 確認済",E1794&lt;&gt;"36 送付中"),1,0))</f>
        <v/>
      </c>
      <c r="AO1794" s="7" t="str">
        <f aca="false">IF(A1794="","",IF(AG1794&lt;&gt;"",1,0))</f>
        <v/>
      </c>
    </row>
    <row r="1795" customFormat="false" ht="15" hidden="false" customHeight="false" outlineLevel="0" collapsed="false">
      <c r="AL1795" s="7" t="str">
        <f aca="false">IF(A1795="","",IF(COUNTIF(A1795:A$2001,A1795)=1,1,0))</f>
        <v/>
      </c>
      <c r="AM1795" s="7" t="str">
        <f aca="true">IF(I1795="","",TODAY()-I1795)</f>
        <v/>
      </c>
      <c r="AN1795" s="7" t="str">
        <f aca="false">IF(A1795="","",IF(AND(E1795&lt;&gt;"33 確認済",E1795&lt;&gt;"36 送付中"),1,0))</f>
        <v/>
      </c>
      <c r="AO1795" s="7" t="str">
        <f aca="false">IF(A1795="","",IF(AG1795&lt;&gt;"",1,0))</f>
        <v/>
      </c>
    </row>
    <row r="1796" customFormat="false" ht="15" hidden="false" customHeight="false" outlineLevel="0" collapsed="false">
      <c r="AL1796" s="7" t="str">
        <f aca="false">IF(A1796="","",IF(COUNTIF(A1796:A$2001,A1796)=1,1,0))</f>
        <v/>
      </c>
      <c r="AM1796" s="7" t="str">
        <f aca="true">IF(I1796="","",TODAY()-I1796)</f>
        <v/>
      </c>
      <c r="AN1796" s="7" t="str">
        <f aca="false">IF(A1796="","",IF(AND(E1796&lt;&gt;"33 確認済",E1796&lt;&gt;"36 送付中"),1,0))</f>
        <v/>
      </c>
      <c r="AO1796" s="7" t="str">
        <f aca="false">IF(A1796="","",IF(AG1796&lt;&gt;"",1,0))</f>
        <v/>
      </c>
    </row>
    <row r="1797" customFormat="false" ht="15" hidden="false" customHeight="false" outlineLevel="0" collapsed="false">
      <c r="AL1797" s="7" t="str">
        <f aca="false">IF(A1797="","",IF(COUNTIF(A1797:A$2001,A1797)=1,1,0))</f>
        <v/>
      </c>
      <c r="AM1797" s="7" t="str">
        <f aca="true">IF(I1797="","",TODAY()-I1797)</f>
        <v/>
      </c>
      <c r="AN1797" s="7" t="str">
        <f aca="false">IF(A1797="","",IF(AND(E1797&lt;&gt;"33 確認済",E1797&lt;&gt;"36 送付中"),1,0))</f>
        <v/>
      </c>
      <c r="AO1797" s="7" t="str">
        <f aca="false">IF(A1797="","",IF(AG1797&lt;&gt;"",1,0))</f>
        <v/>
      </c>
    </row>
    <row r="1798" customFormat="false" ht="15" hidden="false" customHeight="false" outlineLevel="0" collapsed="false">
      <c r="AL1798" s="7" t="str">
        <f aca="false">IF(A1798="","",IF(COUNTIF(A1798:A$2001,A1798)=1,1,0))</f>
        <v/>
      </c>
      <c r="AM1798" s="7" t="str">
        <f aca="true">IF(I1798="","",TODAY()-I1798)</f>
        <v/>
      </c>
      <c r="AN1798" s="7" t="str">
        <f aca="false">IF(A1798="","",IF(AND(E1798&lt;&gt;"33 確認済",E1798&lt;&gt;"36 送付中"),1,0))</f>
        <v/>
      </c>
      <c r="AO1798" s="7" t="str">
        <f aca="false">IF(A1798="","",IF(AG1798&lt;&gt;"",1,0))</f>
        <v/>
      </c>
    </row>
    <row r="1799" customFormat="false" ht="15" hidden="false" customHeight="false" outlineLevel="0" collapsed="false">
      <c r="AL1799" s="7" t="str">
        <f aca="false">IF(A1799="","",IF(COUNTIF(A1799:A$2001,A1799)=1,1,0))</f>
        <v/>
      </c>
      <c r="AM1799" s="7" t="str">
        <f aca="true">IF(I1799="","",TODAY()-I1799)</f>
        <v/>
      </c>
      <c r="AN1799" s="7" t="str">
        <f aca="false">IF(A1799="","",IF(AND(E1799&lt;&gt;"33 確認済",E1799&lt;&gt;"36 送付中"),1,0))</f>
        <v/>
      </c>
      <c r="AO1799" s="7" t="str">
        <f aca="false">IF(A1799="","",IF(AG1799&lt;&gt;"",1,0))</f>
        <v/>
      </c>
    </row>
    <row r="1800" customFormat="false" ht="15" hidden="false" customHeight="false" outlineLevel="0" collapsed="false">
      <c r="AL1800" s="7" t="str">
        <f aca="false">IF(A1800="","",IF(COUNTIF(A1800:A$2001,A1800)=1,1,0))</f>
        <v/>
      </c>
      <c r="AM1800" s="7" t="str">
        <f aca="true">IF(I1800="","",TODAY()-I1800)</f>
        <v/>
      </c>
      <c r="AN1800" s="7" t="str">
        <f aca="false">IF(A1800="","",IF(AND(E1800&lt;&gt;"33 確認済",E1800&lt;&gt;"36 送付中"),1,0))</f>
        <v/>
      </c>
      <c r="AO1800" s="7" t="str">
        <f aca="false">IF(A1800="","",IF(AG1800&lt;&gt;"",1,0))</f>
        <v/>
      </c>
    </row>
    <row r="1801" customFormat="false" ht="15" hidden="false" customHeight="false" outlineLevel="0" collapsed="false">
      <c r="AL1801" s="7" t="str">
        <f aca="false">IF(A1801="","",IF(COUNTIF(A1801:A$2001,A1801)=1,1,0))</f>
        <v/>
      </c>
      <c r="AM1801" s="7" t="str">
        <f aca="true">IF(I1801="","",TODAY()-I1801)</f>
        <v/>
      </c>
      <c r="AN1801" s="7" t="str">
        <f aca="false">IF(A1801="","",IF(AND(E1801&lt;&gt;"33 確認済",E1801&lt;&gt;"36 送付中"),1,0))</f>
        <v/>
      </c>
      <c r="AO1801" s="7" t="str">
        <f aca="false">IF(A1801="","",IF(AG1801&lt;&gt;"",1,0))</f>
        <v/>
      </c>
    </row>
    <row r="1802" customFormat="false" ht="15" hidden="false" customHeight="false" outlineLevel="0" collapsed="false">
      <c r="AL1802" s="7" t="str">
        <f aca="false">IF(A1802="","",IF(COUNTIF(A1802:A$2001,A1802)=1,1,0))</f>
        <v/>
      </c>
      <c r="AM1802" s="7" t="str">
        <f aca="true">IF(I1802="","",TODAY()-I1802)</f>
        <v/>
      </c>
      <c r="AN1802" s="7" t="str">
        <f aca="false">IF(A1802="","",IF(AND(E1802&lt;&gt;"33 確認済",E1802&lt;&gt;"36 送付中"),1,0))</f>
        <v/>
      </c>
      <c r="AO1802" s="7" t="str">
        <f aca="false">IF(A1802="","",IF(AG1802&lt;&gt;"",1,0))</f>
        <v/>
      </c>
    </row>
    <row r="1803" customFormat="false" ht="15" hidden="false" customHeight="false" outlineLevel="0" collapsed="false">
      <c r="AL1803" s="7" t="str">
        <f aca="false">IF(A1803="","",IF(COUNTIF(A1803:A$2001,A1803)=1,1,0))</f>
        <v/>
      </c>
      <c r="AM1803" s="7" t="str">
        <f aca="true">IF(I1803="","",TODAY()-I1803)</f>
        <v/>
      </c>
      <c r="AN1803" s="7" t="str">
        <f aca="false">IF(A1803="","",IF(AND(E1803&lt;&gt;"33 確認済",E1803&lt;&gt;"36 送付中"),1,0))</f>
        <v/>
      </c>
      <c r="AO1803" s="7" t="str">
        <f aca="false">IF(A1803="","",IF(AG1803&lt;&gt;"",1,0))</f>
        <v/>
      </c>
    </row>
    <row r="1804" customFormat="false" ht="15" hidden="false" customHeight="false" outlineLevel="0" collapsed="false">
      <c r="AL1804" s="7" t="str">
        <f aca="false">IF(A1804="","",IF(COUNTIF(A1804:A$2001,A1804)=1,1,0))</f>
        <v/>
      </c>
      <c r="AM1804" s="7" t="str">
        <f aca="true">IF(I1804="","",TODAY()-I1804)</f>
        <v/>
      </c>
      <c r="AN1804" s="7" t="str">
        <f aca="false">IF(A1804="","",IF(AND(E1804&lt;&gt;"33 確認済",E1804&lt;&gt;"36 送付中"),1,0))</f>
        <v/>
      </c>
      <c r="AO1804" s="7" t="str">
        <f aca="false">IF(A1804="","",IF(AG1804&lt;&gt;"",1,0))</f>
        <v/>
      </c>
    </row>
    <row r="1805" customFormat="false" ht="15" hidden="false" customHeight="false" outlineLevel="0" collapsed="false">
      <c r="AL1805" s="7" t="str">
        <f aca="false">IF(A1805="","",IF(COUNTIF(A1805:A$2001,A1805)=1,1,0))</f>
        <v/>
      </c>
      <c r="AM1805" s="7" t="str">
        <f aca="true">IF(I1805="","",TODAY()-I1805)</f>
        <v/>
      </c>
      <c r="AN1805" s="7" t="str">
        <f aca="false">IF(A1805="","",IF(AND(E1805&lt;&gt;"33 確認済",E1805&lt;&gt;"36 送付中"),1,0))</f>
        <v/>
      </c>
      <c r="AO1805" s="7" t="str">
        <f aca="false">IF(A1805="","",IF(AG1805&lt;&gt;"",1,0))</f>
        <v/>
      </c>
    </row>
    <row r="1806" customFormat="false" ht="15" hidden="false" customHeight="false" outlineLevel="0" collapsed="false">
      <c r="AL1806" s="7" t="str">
        <f aca="false">IF(A1806="","",IF(COUNTIF(A1806:A$2001,A1806)=1,1,0))</f>
        <v/>
      </c>
      <c r="AM1806" s="7" t="str">
        <f aca="true">IF(I1806="","",TODAY()-I1806)</f>
        <v/>
      </c>
      <c r="AN1806" s="7" t="str">
        <f aca="false">IF(A1806="","",IF(AND(E1806&lt;&gt;"33 確認済",E1806&lt;&gt;"36 送付中"),1,0))</f>
        <v/>
      </c>
      <c r="AO1806" s="7" t="str">
        <f aca="false">IF(A1806="","",IF(AG1806&lt;&gt;"",1,0))</f>
        <v/>
      </c>
    </row>
    <row r="1807" customFormat="false" ht="15" hidden="false" customHeight="false" outlineLevel="0" collapsed="false">
      <c r="AL1807" s="7" t="str">
        <f aca="false">IF(A1807="","",IF(COUNTIF(A1807:A$2001,A1807)=1,1,0))</f>
        <v/>
      </c>
      <c r="AM1807" s="7" t="str">
        <f aca="true">IF(I1807="","",TODAY()-I1807)</f>
        <v/>
      </c>
      <c r="AN1807" s="7" t="str">
        <f aca="false">IF(A1807="","",IF(AND(E1807&lt;&gt;"33 確認済",E1807&lt;&gt;"36 送付中"),1,0))</f>
        <v/>
      </c>
      <c r="AO1807" s="7" t="str">
        <f aca="false">IF(A1807="","",IF(AG1807&lt;&gt;"",1,0))</f>
        <v/>
      </c>
    </row>
    <row r="1808" customFormat="false" ht="15" hidden="false" customHeight="false" outlineLevel="0" collapsed="false">
      <c r="AL1808" s="7" t="str">
        <f aca="false">IF(A1808="","",IF(COUNTIF(A1808:A$2001,A1808)=1,1,0))</f>
        <v/>
      </c>
      <c r="AM1808" s="7" t="str">
        <f aca="true">IF(I1808="","",TODAY()-I1808)</f>
        <v/>
      </c>
      <c r="AN1808" s="7" t="str">
        <f aca="false">IF(A1808="","",IF(AND(E1808&lt;&gt;"33 確認済",E1808&lt;&gt;"36 送付中"),1,0))</f>
        <v/>
      </c>
      <c r="AO1808" s="7" t="str">
        <f aca="false">IF(A1808="","",IF(AG1808&lt;&gt;"",1,0))</f>
        <v/>
      </c>
    </row>
    <row r="1809" customFormat="false" ht="15" hidden="false" customHeight="false" outlineLevel="0" collapsed="false">
      <c r="AL1809" s="7" t="str">
        <f aca="false">IF(A1809="","",IF(COUNTIF(A1809:A$2001,A1809)=1,1,0))</f>
        <v/>
      </c>
      <c r="AM1809" s="7" t="str">
        <f aca="true">IF(I1809="","",TODAY()-I1809)</f>
        <v/>
      </c>
      <c r="AN1809" s="7" t="str">
        <f aca="false">IF(A1809="","",IF(AND(E1809&lt;&gt;"33 確認済",E1809&lt;&gt;"36 送付中"),1,0))</f>
        <v/>
      </c>
      <c r="AO1809" s="7" t="str">
        <f aca="false">IF(A1809="","",IF(AG1809&lt;&gt;"",1,0))</f>
        <v/>
      </c>
    </row>
    <row r="1810" customFormat="false" ht="15" hidden="false" customHeight="false" outlineLevel="0" collapsed="false">
      <c r="AL1810" s="7" t="str">
        <f aca="false">IF(A1810="","",IF(COUNTIF(A1810:A$2001,A1810)=1,1,0))</f>
        <v/>
      </c>
      <c r="AM1810" s="7" t="str">
        <f aca="true">IF(I1810="","",TODAY()-I1810)</f>
        <v/>
      </c>
      <c r="AN1810" s="7" t="str">
        <f aca="false">IF(A1810="","",IF(AND(E1810&lt;&gt;"33 確認済",E1810&lt;&gt;"36 送付中"),1,0))</f>
        <v/>
      </c>
      <c r="AO1810" s="7" t="str">
        <f aca="false">IF(A1810="","",IF(AG1810&lt;&gt;"",1,0))</f>
        <v/>
      </c>
    </row>
    <row r="1811" customFormat="false" ht="15" hidden="false" customHeight="false" outlineLevel="0" collapsed="false">
      <c r="AL1811" s="7" t="str">
        <f aca="false">IF(A1811="","",IF(COUNTIF(A1811:A$2001,A1811)=1,1,0))</f>
        <v/>
      </c>
      <c r="AM1811" s="7" t="str">
        <f aca="true">IF(I1811="","",TODAY()-I1811)</f>
        <v/>
      </c>
      <c r="AN1811" s="7" t="str">
        <f aca="false">IF(A1811="","",IF(AND(E1811&lt;&gt;"33 確認済",E1811&lt;&gt;"36 送付中"),1,0))</f>
        <v/>
      </c>
      <c r="AO1811" s="7" t="str">
        <f aca="false">IF(A1811="","",IF(AG1811&lt;&gt;"",1,0))</f>
        <v/>
      </c>
    </row>
    <row r="1812" customFormat="false" ht="15" hidden="false" customHeight="false" outlineLevel="0" collapsed="false">
      <c r="AL1812" s="7" t="str">
        <f aca="false">IF(A1812="","",IF(COUNTIF(A1812:A$2001,A1812)=1,1,0))</f>
        <v/>
      </c>
      <c r="AM1812" s="7" t="str">
        <f aca="true">IF(I1812="","",TODAY()-I1812)</f>
        <v/>
      </c>
      <c r="AN1812" s="7" t="str">
        <f aca="false">IF(A1812="","",IF(AND(E1812&lt;&gt;"33 確認済",E1812&lt;&gt;"36 送付中"),1,0))</f>
        <v/>
      </c>
      <c r="AO1812" s="7" t="str">
        <f aca="false">IF(A1812="","",IF(AG1812&lt;&gt;"",1,0))</f>
        <v/>
      </c>
    </row>
    <row r="1813" customFormat="false" ht="15" hidden="false" customHeight="false" outlineLevel="0" collapsed="false">
      <c r="AL1813" s="7" t="str">
        <f aca="false">IF(A1813="","",IF(COUNTIF(A1813:A$2001,A1813)=1,1,0))</f>
        <v/>
      </c>
      <c r="AM1813" s="7" t="str">
        <f aca="true">IF(I1813="","",TODAY()-I1813)</f>
        <v/>
      </c>
      <c r="AN1813" s="7" t="str">
        <f aca="false">IF(A1813="","",IF(AND(E1813&lt;&gt;"33 確認済",E1813&lt;&gt;"36 送付中"),1,0))</f>
        <v/>
      </c>
      <c r="AO1813" s="7" t="str">
        <f aca="false">IF(A1813="","",IF(AG1813&lt;&gt;"",1,0))</f>
        <v/>
      </c>
    </row>
    <row r="1814" customFormat="false" ht="15" hidden="false" customHeight="false" outlineLevel="0" collapsed="false">
      <c r="AL1814" s="7" t="str">
        <f aca="false">IF(A1814="","",IF(COUNTIF(A1814:A$2001,A1814)=1,1,0))</f>
        <v/>
      </c>
      <c r="AM1814" s="7" t="str">
        <f aca="true">IF(I1814="","",TODAY()-I1814)</f>
        <v/>
      </c>
      <c r="AN1814" s="7" t="str">
        <f aca="false">IF(A1814="","",IF(AND(E1814&lt;&gt;"33 確認済",E1814&lt;&gt;"36 送付中"),1,0))</f>
        <v/>
      </c>
      <c r="AO1814" s="7" t="str">
        <f aca="false">IF(A1814="","",IF(AG1814&lt;&gt;"",1,0))</f>
        <v/>
      </c>
    </row>
    <row r="1815" customFormat="false" ht="15" hidden="false" customHeight="false" outlineLevel="0" collapsed="false">
      <c r="AL1815" s="7" t="str">
        <f aca="false">IF(A1815="","",IF(COUNTIF(A1815:A$2001,A1815)=1,1,0))</f>
        <v/>
      </c>
      <c r="AM1815" s="7" t="str">
        <f aca="true">IF(I1815="","",TODAY()-I1815)</f>
        <v/>
      </c>
      <c r="AN1815" s="7" t="str">
        <f aca="false">IF(A1815="","",IF(AND(E1815&lt;&gt;"33 確認済",E1815&lt;&gt;"36 送付中"),1,0))</f>
        <v/>
      </c>
      <c r="AO1815" s="7" t="str">
        <f aca="false">IF(A1815="","",IF(AG1815&lt;&gt;"",1,0))</f>
        <v/>
      </c>
    </row>
    <row r="1816" customFormat="false" ht="15" hidden="false" customHeight="false" outlineLevel="0" collapsed="false">
      <c r="AL1816" s="7" t="str">
        <f aca="false">IF(A1816="","",IF(COUNTIF(A1816:A$2001,A1816)=1,1,0))</f>
        <v/>
      </c>
      <c r="AM1816" s="7" t="str">
        <f aca="true">IF(I1816="","",TODAY()-I1816)</f>
        <v/>
      </c>
      <c r="AN1816" s="7" t="str">
        <f aca="false">IF(A1816="","",IF(AND(E1816&lt;&gt;"33 確認済",E1816&lt;&gt;"36 送付中"),1,0))</f>
        <v/>
      </c>
      <c r="AO1816" s="7" t="str">
        <f aca="false">IF(A1816="","",IF(AG1816&lt;&gt;"",1,0))</f>
        <v/>
      </c>
    </row>
    <row r="1817" customFormat="false" ht="15" hidden="false" customHeight="false" outlineLevel="0" collapsed="false">
      <c r="AL1817" s="7" t="str">
        <f aca="false">IF(A1817="","",IF(COUNTIF(A1817:A$2001,A1817)=1,1,0))</f>
        <v/>
      </c>
      <c r="AM1817" s="7" t="str">
        <f aca="true">IF(I1817="","",TODAY()-I1817)</f>
        <v/>
      </c>
      <c r="AN1817" s="7" t="str">
        <f aca="false">IF(A1817="","",IF(AND(E1817&lt;&gt;"33 確認済",E1817&lt;&gt;"36 送付中"),1,0))</f>
        <v/>
      </c>
      <c r="AO1817" s="7" t="str">
        <f aca="false">IF(A1817="","",IF(AG1817&lt;&gt;"",1,0))</f>
        <v/>
      </c>
    </row>
    <row r="1818" customFormat="false" ht="15" hidden="false" customHeight="false" outlineLevel="0" collapsed="false">
      <c r="AL1818" s="7" t="str">
        <f aca="false">IF(A1818="","",IF(COUNTIF(A1818:A$2001,A1818)=1,1,0))</f>
        <v/>
      </c>
      <c r="AM1818" s="7" t="str">
        <f aca="true">IF(I1818="","",TODAY()-I1818)</f>
        <v/>
      </c>
      <c r="AN1818" s="7" t="str">
        <f aca="false">IF(A1818="","",IF(AND(E1818&lt;&gt;"33 確認済",E1818&lt;&gt;"36 送付中"),1,0))</f>
        <v/>
      </c>
      <c r="AO1818" s="7" t="str">
        <f aca="false">IF(A1818="","",IF(AG1818&lt;&gt;"",1,0))</f>
        <v/>
      </c>
    </row>
    <row r="1819" customFormat="false" ht="15" hidden="false" customHeight="false" outlineLevel="0" collapsed="false">
      <c r="AL1819" s="7" t="str">
        <f aca="false">IF(A1819="","",IF(COUNTIF(A1819:A$2001,A1819)=1,1,0))</f>
        <v/>
      </c>
      <c r="AM1819" s="7" t="str">
        <f aca="true">IF(I1819="","",TODAY()-I1819)</f>
        <v/>
      </c>
      <c r="AN1819" s="7" t="str">
        <f aca="false">IF(A1819="","",IF(AND(E1819&lt;&gt;"33 確認済",E1819&lt;&gt;"36 送付中"),1,0))</f>
        <v/>
      </c>
      <c r="AO1819" s="7" t="str">
        <f aca="false">IF(A1819="","",IF(AG1819&lt;&gt;"",1,0))</f>
        <v/>
      </c>
    </row>
    <row r="1820" customFormat="false" ht="15" hidden="false" customHeight="false" outlineLevel="0" collapsed="false">
      <c r="AL1820" s="7" t="str">
        <f aca="false">IF(A1820="","",IF(COUNTIF(A1820:A$2001,A1820)=1,1,0))</f>
        <v/>
      </c>
      <c r="AM1820" s="7" t="str">
        <f aca="true">IF(I1820="","",TODAY()-I1820)</f>
        <v/>
      </c>
      <c r="AN1820" s="7" t="str">
        <f aca="false">IF(A1820="","",IF(AND(E1820&lt;&gt;"33 確認済",E1820&lt;&gt;"36 送付中"),1,0))</f>
        <v/>
      </c>
      <c r="AO1820" s="7" t="str">
        <f aca="false">IF(A1820="","",IF(AG1820&lt;&gt;"",1,0))</f>
        <v/>
      </c>
    </row>
    <row r="1821" customFormat="false" ht="15" hidden="false" customHeight="false" outlineLevel="0" collapsed="false">
      <c r="AL1821" s="7" t="str">
        <f aca="false">IF(A1821="","",IF(COUNTIF(A1821:A$2001,A1821)=1,1,0))</f>
        <v/>
      </c>
      <c r="AM1821" s="7" t="str">
        <f aca="true">IF(I1821="","",TODAY()-I1821)</f>
        <v/>
      </c>
      <c r="AN1821" s="7" t="str">
        <f aca="false">IF(A1821="","",IF(AND(E1821&lt;&gt;"33 確認済",E1821&lt;&gt;"36 送付中"),1,0))</f>
        <v/>
      </c>
      <c r="AO1821" s="7" t="str">
        <f aca="false">IF(A1821="","",IF(AG1821&lt;&gt;"",1,0))</f>
        <v/>
      </c>
    </row>
    <row r="1822" customFormat="false" ht="15" hidden="false" customHeight="false" outlineLevel="0" collapsed="false">
      <c r="AL1822" s="7" t="str">
        <f aca="false">IF(A1822="","",IF(COUNTIF(A1822:A$2001,A1822)=1,1,0))</f>
        <v/>
      </c>
      <c r="AM1822" s="7" t="str">
        <f aca="true">IF(I1822="","",TODAY()-I1822)</f>
        <v/>
      </c>
      <c r="AN1822" s="7" t="str">
        <f aca="false">IF(A1822="","",IF(AND(E1822&lt;&gt;"33 確認済",E1822&lt;&gt;"36 送付中"),1,0))</f>
        <v/>
      </c>
      <c r="AO1822" s="7" t="str">
        <f aca="false">IF(A1822="","",IF(AG1822&lt;&gt;"",1,0))</f>
        <v/>
      </c>
    </row>
    <row r="1823" customFormat="false" ht="15" hidden="false" customHeight="false" outlineLevel="0" collapsed="false">
      <c r="AL1823" s="7" t="str">
        <f aca="false">IF(A1823="","",IF(COUNTIF(A1823:A$2001,A1823)=1,1,0))</f>
        <v/>
      </c>
      <c r="AM1823" s="7" t="str">
        <f aca="true">IF(I1823="","",TODAY()-I1823)</f>
        <v/>
      </c>
      <c r="AN1823" s="7" t="str">
        <f aca="false">IF(A1823="","",IF(AND(E1823&lt;&gt;"33 確認済",E1823&lt;&gt;"36 送付中"),1,0))</f>
        <v/>
      </c>
      <c r="AO1823" s="7" t="str">
        <f aca="false">IF(A1823="","",IF(AG1823&lt;&gt;"",1,0))</f>
        <v/>
      </c>
    </row>
    <row r="1824" customFormat="false" ht="15" hidden="false" customHeight="false" outlineLevel="0" collapsed="false">
      <c r="AL1824" s="7" t="str">
        <f aca="false">IF(A1824="","",IF(COUNTIF(A1824:A$2001,A1824)=1,1,0))</f>
        <v/>
      </c>
      <c r="AM1824" s="7" t="str">
        <f aca="true">IF(I1824="","",TODAY()-I1824)</f>
        <v/>
      </c>
      <c r="AN1824" s="7" t="str">
        <f aca="false">IF(A1824="","",IF(AND(E1824&lt;&gt;"33 確認済",E1824&lt;&gt;"36 送付中"),1,0))</f>
        <v/>
      </c>
      <c r="AO1824" s="7" t="str">
        <f aca="false">IF(A1824="","",IF(AG1824&lt;&gt;"",1,0))</f>
        <v/>
      </c>
    </row>
    <row r="1825" customFormat="false" ht="15" hidden="false" customHeight="false" outlineLevel="0" collapsed="false">
      <c r="AL1825" s="7" t="str">
        <f aca="false">IF(A1825="","",IF(COUNTIF(A1825:A$2001,A1825)=1,1,0))</f>
        <v/>
      </c>
      <c r="AM1825" s="7" t="str">
        <f aca="true">IF(I1825="","",TODAY()-I1825)</f>
        <v/>
      </c>
      <c r="AN1825" s="7" t="str">
        <f aca="false">IF(A1825="","",IF(AND(E1825&lt;&gt;"33 確認済",E1825&lt;&gt;"36 送付中"),1,0))</f>
        <v/>
      </c>
      <c r="AO1825" s="7" t="str">
        <f aca="false">IF(A1825="","",IF(AG1825&lt;&gt;"",1,0))</f>
        <v/>
      </c>
    </row>
    <row r="1826" customFormat="false" ht="15" hidden="false" customHeight="false" outlineLevel="0" collapsed="false">
      <c r="AL1826" s="7" t="str">
        <f aca="false">IF(A1826="","",IF(COUNTIF(A1826:A$2001,A1826)=1,1,0))</f>
        <v/>
      </c>
      <c r="AM1826" s="7" t="str">
        <f aca="true">IF(I1826="","",TODAY()-I1826)</f>
        <v/>
      </c>
      <c r="AN1826" s="7" t="str">
        <f aca="false">IF(A1826="","",IF(AND(E1826&lt;&gt;"33 確認済",E1826&lt;&gt;"36 送付中"),1,0))</f>
        <v/>
      </c>
      <c r="AO1826" s="7" t="str">
        <f aca="false">IF(A1826="","",IF(AG1826&lt;&gt;"",1,0))</f>
        <v/>
      </c>
    </row>
    <row r="1827" customFormat="false" ht="15" hidden="false" customHeight="false" outlineLevel="0" collapsed="false">
      <c r="AL1827" s="7" t="str">
        <f aca="false">IF(A1827="","",IF(COUNTIF(A1827:A$2001,A1827)=1,1,0))</f>
        <v/>
      </c>
      <c r="AM1827" s="7" t="str">
        <f aca="true">IF(I1827="","",TODAY()-I1827)</f>
        <v/>
      </c>
      <c r="AN1827" s="7" t="str">
        <f aca="false">IF(A1827="","",IF(AND(E1827&lt;&gt;"33 確認済",E1827&lt;&gt;"36 送付中"),1,0))</f>
        <v/>
      </c>
      <c r="AO1827" s="7" t="str">
        <f aca="false">IF(A1827="","",IF(AG1827&lt;&gt;"",1,0))</f>
        <v/>
      </c>
    </row>
    <row r="1828" customFormat="false" ht="15" hidden="false" customHeight="false" outlineLevel="0" collapsed="false">
      <c r="AL1828" s="7" t="str">
        <f aca="false">IF(A1828="","",IF(COUNTIF(A1828:A$2001,A1828)=1,1,0))</f>
        <v/>
      </c>
      <c r="AM1828" s="7" t="str">
        <f aca="true">IF(I1828="","",TODAY()-I1828)</f>
        <v/>
      </c>
      <c r="AN1828" s="7" t="str">
        <f aca="false">IF(A1828="","",IF(AND(E1828&lt;&gt;"33 確認済",E1828&lt;&gt;"36 送付中"),1,0))</f>
        <v/>
      </c>
      <c r="AO1828" s="7" t="str">
        <f aca="false">IF(A1828="","",IF(AG1828&lt;&gt;"",1,0))</f>
        <v/>
      </c>
    </row>
    <row r="1829" customFormat="false" ht="15" hidden="false" customHeight="false" outlineLevel="0" collapsed="false">
      <c r="AL1829" s="7" t="str">
        <f aca="false">IF(A1829="","",IF(COUNTIF(A1829:A$2001,A1829)=1,1,0))</f>
        <v/>
      </c>
      <c r="AM1829" s="7" t="str">
        <f aca="true">IF(I1829="","",TODAY()-I1829)</f>
        <v/>
      </c>
      <c r="AN1829" s="7" t="str">
        <f aca="false">IF(A1829="","",IF(AND(E1829&lt;&gt;"33 確認済",E1829&lt;&gt;"36 送付中"),1,0))</f>
        <v/>
      </c>
      <c r="AO1829" s="7" t="str">
        <f aca="false">IF(A1829="","",IF(AG1829&lt;&gt;"",1,0))</f>
        <v/>
      </c>
    </row>
    <row r="1830" customFormat="false" ht="15" hidden="false" customHeight="false" outlineLevel="0" collapsed="false">
      <c r="AL1830" s="7" t="str">
        <f aca="false">IF(A1830="","",IF(COUNTIF(A1830:A$2001,A1830)=1,1,0))</f>
        <v/>
      </c>
      <c r="AM1830" s="7" t="str">
        <f aca="true">IF(I1830="","",TODAY()-I1830)</f>
        <v/>
      </c>
      <c r="AN1830" s="7" t="str">
        <f aca="false">IF(A1830="","",IF(AND(E1830&lt;&gt;"33 確認済",E1830&lt;&gt;"36 送付中"),1,0))</f>
        <v/>
      </c>
      <c r="AO1830" s="7" t="str">
        <f aca="false">IF(A1830="","",IF(AG1830&lt;&gt;"",1,0))</f>
        <v/>
      </c>
    </row>
    <row r="1831" customFormat="false" ht="15" hidden="false" customHeight="false" outlineLevel="0" collapsed="false">
      <c r="AL1831" s="7" t="str">
        <f aca="false">IF(A1831="","",IF(COUNTIF(A1831:A$2001,A1831)=1,1,0))</f>
        <v/>
      </c>
      <c r="AM1831" s="7" t="str">
        <f aca="true">IF(I1831="","",TODAY()-I1831)</f>
        <v/>
      </c>
      <c r="AN1831" s="7" t="str">
        <f aca="false">IF(A1831="","",IF(AND(E1831&lt;&gt;"33 確認済",E1831&lt;&gt;"36 送付中"),1,0))</f>
        <v/>
      </c>
      <c r="AO1831" s="7" t="str">
        <f aca="false">IF(A1831="","",IF(AG1831&lt;&gt;"",1,0))</f>
        <v/>
      </c>
    </row>
    <row r="1832" customFormat="false" ht="15" hidden="false" customHeight="false" outlineLevel="0" collapsed="false">
      <c r="AL1832" s="7" t="str">
        <f aca="false">IF(A1832="","",IF(COUNTIF(A1832:A$2001,A1832)=1,1,0))</f>
        <v/>
      </c>
      <c r="AM1832" s="7" t="str">
        <f aca="true">IF(I1832="","",TODAY()-I1832)</f>
        <v/>
      </c>
      <c r="AN1832" s="7" t="str">
        <f aca="false">IF(A1832="","",IF(AND(E1832&lt;&gt;"33 確認済",E1832&lt;&gt;"36 送付中"),1,0))</f>
        <v/>
      </c>
      <c r="AO1832" s="7" t="str">
        <f aca="false">IF(A1832="","",IF(AG1832&lt;&gt;"",1,0))</f>
        <v/>
      </c>
    </row>
    <row r="1833" customFormat="false" ht="15" hidden="false" customHeight="false" outlineLevel="0" collapsed="false">
      <c r="AL1833" s="7" t="str">
        <f aca="false">IF(A1833="","",IF(COUNTIF(A1833:A$2001,A1833)=1,1,0))</f>
        <v/>
      </c>
      <c r="AM1833" s="7" t="str">
        <f aca="true">IF(I1833="","",TODAY()-I1833)</f>
        <v/>
      </c>
      <c r="AN1833" s="7" t="str">
        <f aca="false">IF(A1833="","",IF(AND(E1833&lt;&gt;"33 確認済",E1833&lt;&gt;"36 送付中"),1,0))</f>
        <v/>
      </c>
      <c r="AO1833" s="7" t="str">
        <f aca="false">IF(A1833="","",IF(AG1833&lt;&gt;"",1,0))</f>
        <v/>
      </c>
    </row>
    <row r="1834" customFormat="false" ht="15" hidden="false" customHeight="false" outlineLevel="0" collapsed="false">
      <c r="AL1834" s="7" t="str">
        <f aca="false">IF(A1834="","",IF(COUNTIF(A1834:A$2001,A1834)=1,1,0))</f>
        <v/>
      </c>
      <c r="AM1834" s="7" t="str">
        <f aca="true">IF(I1834="","",TODAY()-I1834)</f>
        <v/>
      </c>
      <c r="AN1834" s="7" t="str">
        <f aca="false">IF(A1834="","",IF(AND(E1834&lt;&gt;"33 確認済",E1834&lt;&gt;"36 送付中"),1,0))</f>
        <v/>
      </c>
      <c r="AO1834" s="7" t="str">
        <f aca="false">IF(A1834="","",IF(AG1834&lt;&gt;"",1,0))</f>
        <v/>
      </c>
    </row>
    <row r="1835" customFormat="false" ht="15" hidden="false" customHeight="false" outlineLevel="0" collapsed="false">
      <c r="AL1835" s="7" t="str">
        <f aca="false">IF(A1835="","",IF(COUNTIF(A1835:A$2001,A1835)=1,1,0))</f>
        <v/>
      </c>
      <c r="AM1835" s="7" t="str">
        <f aca="true">IF(I1835="","",TODAY()-I1835)</f>
        <v/>
      </c>
      <c r="AN1835" s="7" t="str">
        <f aca="false">IF(A1835="","",IF(AND(E1835&lt;&gt;"33 確認済",E1835&lt;&gt;"36 送付中"),1,0))</f>
        <v/>
      </c>
      <c r="AO1835" s="7" t="str">
        <f aca="false">IF(A1835="","",IF(AG1835&lt;&gt;"",1,0))</f>
        <v/>
      </c>
    </row>
    <row r="1836" customFormat="false" ht="15" hidden="false" customHeight="false" outlineLevel="0" collapsed="false">
      <c r="AL1836" s="7" t="str">
        <f aca="false">IF(A1836="","",IF(COUNTIF(A1836:A$2001,A1836)=1,1,0))</f>
        <v/>
      </c>
      <c r="AM1836" s="7" t="str">
        <f aca="true">IF(I1836="","",TODAY()-I1836)</f>
        <v/>
      </c>
      <c r="AN1836" s="7" t="str">
        <f aca="false">IF(A1836="","",IF(AND(E1836&lt;&gt;"33 確認済",E1836&lt;&gt;"36 送付中"),1,0))</f>
        <v/>
      </c>
      <c r="AO1836" s="7" t="str">
        <f aca="false">IF(A1836="","",IF(AG1836&lt;&gt;"",1,0))</f>
        <v/>
      </c>
    </row>
    <row r="1837" customFormat="false" ht="15" hidden="false" customHeight="false" outlineLevel="0" collapsed="false">
      <c r="AL1837" s="7" t="str">
        <f aca="false">IF(A1837="","",IF(COUNTIF(A1837:A$2001,A1837)=1,1,0))</f>
        <v/>
      </c>
      <c r="AM1837" s="7" t="str">
        <f aca="true">IF(I1837="","",TODAY()-I1837)</f>
        <v/>
      </c>
      <c r="AN1837" s="7" t="str">
        <f aca="false">IF(A1837="","",IF(AND(E1837&lt;&gt;"33 確認済",E1837&lt;&gt;"36 送付中"),1,0))</f>
        <v/>
      </c>
      <c r="AO1837" s="7" t="str">
        <f aca="false">IF(A1837="","",IF(AG1837&lt;&gt;"",1,0))</f>
        <v/>
      </c>
    </row>
    <row r="1838" customFormat="false" ht="15" hidden="false" customHeight="false" outlineLevel="0" collapsed="false">
      <c r="AL1838" s="7" t="str">
        <f aca="false">IF(A1838="","",IF(COUNTIF(A1838:A$2001,A1838)=1,1,0))</f>
        <v/>
      </c>
      <c r="AM1838" s="7" t="str">
        <f aca="true">IF(I1838="","",TODAY()-I1838)</f>
        <v/>
      </c>
      <c r="AN1838" s="7" t="str">
        <f aca="false">IF(A1838="","",IF(AND(E1838&lt;&gt;"33 確認済",E1838&lt;&gt;"36 送付中"),1,0))</f>
        <v/>
      </c>
      <c r="AO1838" s="7" t="str">
        <f aca="false">IF(A1838="","",IF(AG1838&lt;&gt;"",1,0))</f>
        <v/>
      </c>
    </row>
    <row r="1839" customFormat="false" ht="15" hidden="false" customHeight="false" outlineLevel="0" collapsed="false">
      <c r="AL1839" s="7" t="str">
        <f aca="false">IF(A1839="","",IF(COUNTIF(A1839:A$2001,A1839)=1,1,0))</f>
        <v/>
      </c>
      <c r="AM1839" s="7" t="str">
        <f aca="true">IF(I1839="","",TODAY()-I1839)</f>
        <v/>
      </c>
      <c r="AN1839" s="7" t="str">
        <f aca="false">IF(A1839="","",IF(AND(E1839&lt;&gt;"33 確認済",E1839&lt;&gt;"36 送付中"),1,0))</f>
        <v/>
      </c>
      <c r="AO1839" s="7" t="str">
        <f aca="false">IF(A1839="","",IF(AG1839&lt;&gt;"",1,0))</f>
        <v/>
      </c>
    </row>
    <row r="1840" customFormat="false" ht="15" hidden="false" customHeight="false" outlineLevel="0" collapsed="false">
      <c r="AL1840" s="7" t="str">
        <f aca="false">IF(A1840="","",IF(COUNTIF(A1840:A$2001,A1840)=1,1,0))</f>
        <v/>
      </c>
      <c r="AM1840" s="7" t="str">
        <f aca="true">IF(I1840="","",TODAY()-I1840)</f>
        <v/>
      </c>
      <c r="AN1840" s="7" t="str">
        <f aca="false">IF(A1840="","",IF(AND(E1840&lt;&gt;"33 確認済",E1840&lt;&gt;"36 送付中"),1,0))</f>
        <v/>
      </c>
      <c r="AO1840" s="7" t="str">
        <f aca="false">IF(A1840="","",IF(AG1840&lt;&gt;"",1,0))</f>
        <v/>
      </c>
    </row>
    <row r="1841" customFormat="false" ht="15" hidden="false" customHeight="false" outlineLevel="0" collapsed="false">
      <c r="AL1841" s="7" t="str">
        <f aca="false">IF(A1841="","",IF(COUNTIF(A1841:A$2001,A1841)=1,1,0))</f>
        <v/>
      </c>
      <c r="AM1841" s="7" t="str">
        <f aca="true">IF(I1841="","",TODAY()-I1841)</f>
        <v/>
      </c>
      <c r="AN1841" s="7" t="str">
        <f aca="false">IF(A1841="","",IF(AND(E1841&lt;&gt;"33 確認済",E1841&lt;&gt;"36 送付中"),1,0))</f>
        <v/>
      </c>
      <c r="AO1841" s="7" t="str">
        <f aca="false">IF(A1841="","",IF(AG1841&lt;&gt;"",1,0))</f>
        <v/>
      </c>
    </row>
    <row r="1842" customFormat="false" ht="15" hidden="false" customHeight="false" outlineLevel="0" collapsed="false">
      <c r="AL1842" s="7" t="str">
        <f aca="false">IF(A1842="","",IF(COUNTIF(A1842:A$2001,A1842)=1,1,0))</f>
        <v/>
      </c>
      <c r="AM1842" s="7" t="str">
        <f aca="true">IF(I1842="","",TODAY()-I1842)</f>
        <v/>
      </c>
      <c r="AN1842" s="7" t="str">
        <f aca="false">IF(A1842="","",IF(AND(E1842&lt;&gt;"33 確認済",E1842&lt;&gt;"36 送付中"),1,0))</f>
        <v/>
      </c>
      <c r="AO1842" s="7" t="str">
        <f aca="false">IF(A1842="","",IF(AG1842&lt;&gt;"",1,0))</f>
        <v/>
      </c>
    </row>
    <row r="1843" customFormat="false" ht="15" hidden="false" customHeight="false" outlineLevel="0" collapsed="false">
      <c r="AL1843" s="7" t="str">
        <f aca="false">IF(A1843="","",IF(COUNTIF(A1843:A$2001,A1843)=1,1,0))</f>
        <v/>
      </c>
      <c r="AM1843" s="7" t="str">
        <f aca="true">IF(I1843="","",TODAY()-I1843)</f>
        <v/>
      </c>
      <c r="AN1843" s="7" t="str">
        <f aca="false">IF(A1843="","",IF(AND(E1843&lt;&gt;"33 確認済",E1843&lt;&gt;"36 送付中"),1,0))</f>
        <v/>
      </c>
      <c r="AO1843" s="7" t="str">
        <f aca="false">IF(A1843="","",IF(AG1843&lt;&gt;"",1,0))</f>
        <v/>
      </c>
    </row>
    <row r="1844" customFormat="false" ht="15" hidden="false" customHeight="false" outlineLevel="0" collapsed="false">
      <c r="AL1844" s="7" t="str">
        <f aca="false">IF(A1844="","",IF(COUNTIF(A1844:A$2001,A1844)=1,1,0))</f>
        <v/>
      </c>
      <c r="AM1844" s="7" t="str">
        <f aca="true">IF(I1844="","",TODAY()-I1844)</f>
        <v/>
      </c>
      <c r="AN1844" s="7" t="str">
        <f aca="false">IF(A1844="","",IF(AND(E1844&lt;&gt;"33 確認済",E1844&lt;&gt;"36 送付中"),1,0))</f>
        <v/>
      </c>
      <c r="AO1844" s="7" t="str">
        <f aca="false">IF(A1844="","",IF(AG1844&lt;&gt;"",1,0))</f>
        <v/>
      </c>
    </row>
    <row r="1845" customFormat="false" ht="15" hidden="false" customHeight="false" outlineLevel="0" collapsed="false">
      <c r="AL1845" s="7" t="str">
        <f aca="false">IF(A1845="","",IF(COUNTIF(A1845:A$2001,A1845)=1,1,0))</f>
        <v/>
      </c>
      <c r="AM1845" s="7" t="str">
        <f aca="true">IF(I1845="","",TODAY()-I1845)</f>
        <v/>
      </c>
      <c r="AN1845" s="7" t="str">
        <f aca="false">IF(A1845="","",IF(AND(E1845&lt;&gt;"33 確認済",E1845&lt;&gt;"36 送付中"),1,0))</f>
        <v/>
      </c>
      <c r="AO1845" s="7" t="str">
        <f aca="false">IF(A1845="","",IF(AG1845&lt;&gt;"",1,0))</f>
        <v/>
      </c>
    </row>
    <row r="1846" customFormat="false" ht="15" hidden="false" customHeight="false" outlineLevel="0" collapsed="false">
      <c r="AL1846" s="7" t="str">
        <f aca="false">IF(A1846="","",IF(COUNTIF(A1846:A$2001,A1846)=1,1,0))</f>
        <v/>
      </c>
      <c r="AM1846" s="7" t="str">
        <f aca="true">IF(I1846="","",TODAY()-I1846)</f>
        <v/>
      </c>
      <c r="AN1846" s="7" t="str">
        <f aca="false">IF(A1846="","",IF(AND(E1846&lt;&gt;"33 確認済",E1846&lt;&gt;"36 送付中"),1,0))</f>
        <v/>
      </c>
      <c r="AO1846" s="7" t="str">
        <f aca="false">IF(A1846="","",IF(AG1846&lt;&gt;"",1,0))</f>
        <v/>
      </c>
    </row>
    <row r="1847" customFormat="false" ht="15" hidden="false" customHeight="false" outlineLevel="0" collapsed="false">
      <c r="AL1847" s="7" t="str">
        <f aca="false">IF(A1847="","",IF(COUNTIF(A1847:A$2001,A1847)=1,1,0))</f>
        <v/>
      </c>
      <c r="AM1847" s="7" t="str">
        <f aca="true">IF(I1847="","",TODAY()-I1847)</f>
        <v/>
      </c>
      <c r="AN1847" s="7" t="str">
        <f aca="false">IF(A1847="","",IF(AND(E1847&lt;&gt;"33 確認済",E1847&lt;&gt;"36 送付中"),1,0))</f>
        <v/>
      </c>
      <c r="AO1847" s="7" t="str">
        <f aca="false">IF(A1847="","",IF(AG1847&lt;&gt;"",1,0))</f>
        <v/>
      </c>
    </row>
    <row r="1848" customFormat="false" ht="15" hidden="false" customHeight="false" outlineLevel="0" collapsed="false">
      <c r="AL1848" s="7" t="str">
        <f aca="false">IF(A1848="","",IF(COUNTIF(A1848:A$2001,A1848)=1,1,0))</f>
        <v/>
      </c>
      <c r="AM1848" s="7" t="str">
        <f aca="true">IF(I1848="","",TODAY()-I1848)</f>
        <v/>
      </c>
      <c r="AN1848" s="7" t="str">
        <f aca="false">IF(A1848="","",IF(AND(E1848&lt;&gt;"33 確認済",E1848&lt;&gt;"36 送付中"),1,0))</f>
        <v/>
      </c>
      <c r="AO1848" s="7" t="str">
        <f aca="false">IF(A1848="","",IF(AG1848&lt;&gt;"",1,0))</f>
        <v/>
      </c>
    </row>
    <row r="1849" customFormat="false" ht="15" hidden="false" customHeight="false" outlineLevel="0" collapsed="false">
      <c r="AL1849" s="7" t="str">
        <f aca="false">IF(A1849="","",IF(COUNTIF(A1849:A$2001,A1849)=1,1,0))</f>
        <v/>
      </c>
      <c r="AM1849" s="7" t="str">
        <f aca="true">IF(I1849="","",TODAY()-I1849)</f>
        <v/>
      </c>
      <c r="AN1849" s="7" t="str">
        <f aca="false">IF(A1849="","",IF(AND(E1849&lt;&gt;"33 確認済",E1849&lt;&gt;"36 送付中"),1,0))</f>
        <v/>
      </c>
      <c r="AO1849" s="7" t="str">
        <f aca="false">IF(A1849="","",IF(AG1849&lt;&gt;"",1,0))</f>
        <v/>
      </c>
    </row>
    <row r="1850" customFormat="false" ht="15" hidden="false" customHeight="false" outlineLevel="0" collapsed="false">
      <c r="AL1850" s="7" t="str">
        <f aca="false">IF(A1850="","",IF(COUNTIF(A1850:A$2001,A1850)=1,1,0))</f>
        <v/>
      </c>
      <c r="AM1850" s="7" t="str">
        <f aca="true">IF(I1850="","",TODAY()-I1850)</f>
        <v/>
      </c>
      <c r="AN1850" s="7" t="str">
        <f aca="false">IF(A1850="","",IF(AND(E1850&lt;&gt;"33 確認済",E1850&lt;&gt;"36 送付中"),1,0))</f>
        <v/>
      </c>
      <c r="AO1850" s="7" t="str">
        <f aca="false">IF(A1850="","",IF(AG1850&lt;&gt;"",1,0))</f>
        <v/>
      </c>
    </row>
    <row r="1851" customFormat="false" ht="15" hidden="false" customHeight="false" outlineLevel="0" collapsed="false">
      <c r="AL1851" s="7" t="str">
        <f aca="false">IF(A1851="","",IF(COUNTIF(A1851:A$2001,A1851)=1,1,0))</f>
        <v/>
      </c>
      <c r="AM1851" s="7" t="str">
        <f aca="true">IF(I1851="","",TODAY()-I1851)</f>
        <v/>
      </c>
      <c r="AN1851" s="7" t="str">
        <f aca="false">IF(A1851="","",IF(AND(E1851&lt;&gt;"33 確認済",E1851&lt;&gt;"36 送付中"),1,0))</f>
        <v/>
      </c>
      <c r="AO1851" s="7" t="str">
        <f aca="false">IF(A1851="","",IF(AG1851&lt;&gt;"",1,0))</f>
        <v/>
      </c>
    </row>
    <row r="1852" customFormat="false" ht="15" hidden="false" customHeight="false" outlineLevel="0" collapsed="false">
      <c r="AL1852" s="7" t="str">
        <f aca="false">IF(A1852="","",IF(COUNTIF(A1852:A$2001,A1852)=1,1,0))</f>
        <v/>
      </c>
      <c r="AM1852" s="7" t="str">
        <f aca="true">IF(I1852="","",TODAY()-I1852)</f>
        <v/>
      </c>
      <c r="AN1852" s="7" t="str">
        <f aca="false">IF(A1852="","",IF(AND(E1852&lt;&gt;"33 確認済",E1852&lt;&gt;"36 送付中"),1,0))</f>
        <v/>
      </c>
      <c r="AO1852" s="7" t="str">
        <f aca="false">IF(A1852="","",IF(AG1852&lt;&gt;"",1,0))</f>
        <v/>
      </c>
    </row>
    <row r="1853" customFormat="false" ht="15" hidden="false" customHeight="false" outlineLevel="0" collapsed="false">
      <c r="AL1853" s="7" t="str">
        <f aca="false">IF(A1853="","",IF(COUNTIF(A1853:A$2001,A1853)=1,1,0))</f>
        <v/>
      </c>
      <c r="AM1853" s="7" t="str">
        <f aca="true">IF(I1853="","",TODAY()-I1853)</f>
        <v/>
      </c>
      <c r="AN1853" s="7" t="str">
        <f aca="false">IF(A1853="","",IF(AND(E1853&lt;&gt;"33 確認済",E1853&lt;&gt;"36 送付中"),1,0))</f>
        <v/>
      </c>
      <c r="AO1853" s="7" t="str">
        <f aca="false">IF(A1853="","",IF(AG1853&lt;&gt;"",1,0))</f>
        <v/>
      </c>
    </row>
    <row r="1854" customFormat="false" ht="15" hidden="false" customHeight="false" outlineLevel="0" collapsed="false">
      <c r="AL1854" s="7" t="str">
        <f aca="false">IF(A1854="","",IF(COUNTIF(A1854:A$2001,A1854)=1,1,0))</f>
        <v/>
      </c>
      <c r="AM1854" s="7" t="str">
        <f aca="true">IF(I1854="","",TODAY()-I1854)</f>
        <v/>
      </c>
      <c r="AN1854" s="7" t="str">
        <f aca="false">IF(A1854="","",IF(AND(E1854&lt;&gt;"33 確認済",E1854&lt;&gt;"36 送付中"),1,0))</f>
        <v/>
      </c>
      <c r="AO1854" s="7" t="str">
        <f aca="false">IF(A1854="","",IF(AG1854&lt;&gt;"",1,0))</f>
        <v/>
      </c>
    </row>
    <row r="1855" customFormat="false" ht="15" hidden="false" customHeight="false" outlineLevel="0" collapsed="false">
      <c r="AL1855" s="7" t="str">
        <f aca="false">IF(A1855="","",IF(COUNTIF(A1855:A$2001,A1855)=1,1,0))</f>
        <v/>
      </c>
      <c r="AM1855" s="7" t="str">
        <f aca="true">IF(I1855="","",TODAY()-I1855)</f>
        <v/>
      </c>
      <c r="AN1855" s="7" t="str">
        <f aca="false">IF(A1855="","",IF(AND(E1855&lt;&gt;"33 確認済",E1855&lt;&gt;"36 送付中"),1,0))</f>
        <v/>
      </c>
      <c r="AO1855" s="7" t="str">
        <f aca="false">IF(A1855="","",IF(AG1855&lt;&gt;"",1,0))</f>
        <v/>
      </c>
    </row>
    <row r="1856" customFormat="false" ht="15" hidden="false" customHeight="false" outlineLevel="0" collapsed="false">
      <c r="AL1856" s="7" t="str">
        <f aca="false">IF(A1856="","",IF(COUNTIF(A1856:A$2001,A1856)=1,1,0))</f>
        <v/>
      </c>
      <c r="AM1856" s="7" t="str">
        <f aca="true">IF(I1856="","",TODAY()-I1856)</f>
        <v/>
      </c>
      <c r="AN1856" s="7" t="str">
        <f aca="false">IF(A1856="","",IF(AND(E1856&lt;&gt;"33 確認済",E1856&lt;&gt;"36 送付中"),1,0))</f>
        <v/>
      </c>
      <c r="AO1856" s="7" t="str">
        <f aca="false">IF(A1856="","",IF(AG1856&lt;&gt;"",1,0))</f>
        <v/>
      </c>
    </row>
    <row r="1857" customFormat="false" ht="15" hidden="false" customHeight="false" outlineLevel="0" collapsed="false">
      <c r="AL1857" s="7" t="str">
        <f aca="false">IF(A1857="","",IF(COUNTIF(A1857:A$2001,A1857)=1,1,0))</f>
        <v/>
      </c>
      <c r="AM1857" s="7" t="str">
        <f aca="true">IF(I1857="","",TODAY()-I1857)</f>
        <v/>
      </c>
      <c r="AN1857" s="7" t="str">
        <f aca="false">IF(A1857="","",IF(AND(E1857&lt;&gt;"33 確認済",E1857&lt;&gt;"36 送付中"),1,0))</f>
        <v/>
      </c>
      <c r="AO1857" s="7" t="str">
        <f aca="false">IF(A1857="","",IF(AG1857&lt;&gt;"",1,0))</f>
        <v/>
      </c>
    </row>
    <row r="1858" customFormat="false" ht="15" hidden="false" customHeight="false" outlineLevel="0" collapsed="false">
      <c r="AL1858" s="7" t="str">
        <f aca="false">IF(A1858="","",IF(COUNTIF(A1858:A$2001,A1858)=1,1,0))</f>
        <v/>
      </c>
      <c r="AM1858" s="7" t="str">
        <f aca="true">IF(I1858="","",TODAY()-I1858)</f>
        <v/>
      </c>
      <c r="AN1858" s="7" t="str">
        <f aca="false">IF(A1858="","",IF(AND(E1858&lt;&gt;"33 確認済",E1858&lt;&gt;"36 送付中"),1,0))</f>
        <v/>
      </c>
      <c r="AO1858" s="7" t="str">
        <f aca="false">IF(A1858="","",IF(AG1858&lt;&gt;"",1,0))</f>
        <v/>
      </c>
    </row>
    <row r="1859" customFormat="false" ht="15" hidden="false" customHeight="false" outlineLevel="0" collapsed="false">
      <c r="AL1859" s="7" t="str">
        <f aca="false">IF(A1859="","",IF(COUNTIF(A1859:A$2001,A1859)=1,1,0))</f>
        <v/>
      </c>
      <c r="AM1859" s="7" t="str">
        <f aca="true">IF(I1859="","",TODAY()-I1859)</f>
        <v/>
      </c>
      <c r="AN1859" s="7" t="str">
        <f aca="false">IF(A1859="","",IF(AND(E1859&lt;&gt;"33 確認済",E1859&lt;&gt;"36 送付中"),1,0))</f>
        <v/>
      </c>
      <c r="AO1859" s="7" t="str">
        <f aca="false">IF(A1859="","",IF(AG1859&lt;&gt;"",1,0))</f>
        <v/>
      </c>
    </row>
    <row r="1860" customFormat="false" ht="15" hidden="false" customHeight="false" outlineLevel="0" collapsed="false">
      <c r="AL1860" s="7" t="str">
        <f aca="false">IF(A1860="","",IF(COUNTIF(A1860:A$2001,A1860)=1,1,0))</f>
        <v/>
      </c>
      <c r="AM1860" s="7" t="str">
        <f aca="true">IF(I1860="","",TODAY()-I1860)</f>
        <v/>
      </c>
      <c r="AN1860" s="7" t="str">
        <f aca="false">IF(A1860="","",IF(AND(E1860&lt;&gt;"33 確認済",E1860&lt;&gt;"36 送付中"),1,0))</f>
        <v/>
      </c>
      <c r="AO1860" s="7" t="str">
        <f aca="false">IF(A1860="","",IF(AG1860&lt;&gt;"",1,0))</f>
        <v/>
      </c>
    </row>
    <row r="1861" customFormat="false" ht="15" hidden="false" customHeight="false" outlineLevel="0" collapsed="false">
      <c r="AL1861" s="7" t="str">
        <f aca="false">IF(A1861="","",IF(COUNTIF(A1861:A$2001,A1861)=1,1,0))</f>
        <v/>
      </c>
      <c r="AM1861" s="7" t="str">
        <f aca="true">IF(I1861="","",TODAY()-I1861)</f>
        <v/>
      </c>
      <c r="AN1861" s="7" t="str">
        <f aca="false">IF(A1861="","",IF(AND(E1861&lt;&gt;"33 確認済",E1861&lt;&gt;"36 送付中"),1,0))</f>
        <v/>
      </c>
      <c r="AO1861" s="7" t="str">
        <f aca="false">IF(A1861="","",IF(AG1861&lt;&gt;"",1,0))</f>
        <v/>
      </c>
    </row>
    <row r="1862" customFormat="false" ht="15" hidden="false" customHeight="false" outlineLevel="0" collapsed="false">
      <c r="AL1862" s="7" t="str">
        <f aca="false">IF(A1862="","",IF(COUNTIF(A1862:A$2001,A1862)=1,1,0))</f>
        <v/>
      </c>
      <c r="AM1862" s="7" t="str">
        <f aca="true">IF(I1862="","",TODAY()-I1862)</f>
        <v/>
      </c>
      <c r="AN1862" s="7" t="str">
        <f aca="false">IF(A1862="","",IF(AND(E1862&lt;&gt;"33 確認済",E1862&lt;&gt;"36 送付中"),1,0))</f>
        <v/>
      </c>
      <c r="AO1862" s="7" t="str">
        <f aca="false">IF(A1862="","",IF(AG1862&lt;&gt;"",1,0))</f>
        <v/>
      </c>
    </row>
    <row r="1863" customFormat="false" ht="15" hidden="false" customHeight="false" outlineLevel="0" collapsed="false">
      <c r="AL1863" s="7" t="str">
        <f aca="false">IF(A1863="","",IF(COUNTIF(A1863:A$2001,A1863)=1,1,0))</f>
        <v/>
      </c>
      <c r="AM1863" s="7" t="str">
        <f aca="true">IF(I1863="","",TODAY()-I1863)</f>
        <v/>
      </c>
      <c r="AN1863" s="7" t="str">
        <f aca="false">IF(A1863="","",IF(AND(E1863&lt;&gt;"33 確認済",E1863&lt;&gt;"36 送付中"),1,0))</f>
        <v/>
      </c>
      <c r="AO1863" s="7" t="str">
        <f aca="false">IF(A1863="","",IF(AG1863&lt;&gt;"",1,0))</f>
        <v/>
      </c>
    </row>
    <row r="1864" customFormat="false" ht="15" hidden="false" customHeight="false" outlineLevel="0" collapsed="false">
      <c r="AL1864" s="7" t="str">
        <f aca="false">IF(A1864="","",IF(COUNTIF(A1864:A$2001,A1864)=1,1,0))</f>
        <v/>
      </c>
      <c r="AM1864" s="7" t="str">
        <f aca="true">IF(I1864="","",TODAY()-I1864)</f>
        <v/>
      </c>
      <c r="AN1864" s="7" t="str">
        <f aca="false">IF(A1864="","",IF(AND(E1864&lt;&gt;"33 確認済",E1864&lt;&gt;"36 送付中"),1,0))</f>
        <v/>
      </c>
      <c r="AO1864" s="7" t="str">
        <f aca="false">IF(A1864="","",IF(AG1864&lt;&gt;"",1,0))</f>
        <v/>
      </c>
    </row>
    <row r="1865" customFormat="false" ht="15" hidden="false" customHeight="false" outlineLevel="0" collapsed="false">
      <c r="AL1865" s="7" t="str">
        <f aca="false">IF(A1865="","",IF(COUNTIF(A1865:A$2001,A1865)=1,1,0))</f>
        <v/>
      </c>
      <c r="AM1865" s="7" t="str">
        <f aca="true">IF(I1865="","",TODAY()-I1865)</f>
        <v/>
      </c>
      <c r="AN1865" s="7" t="str">
        <f aca="false">IF(A1865="","",IF(AND(E1865&lt;&gt;"33 確認済",E1865&lt;&gt;"36 送付中"),1,0))</f>
        <v/>
      </c>
      <c r="AO1865" s="7" t="str">
        <f aca="false">IF(A1865="","",IF(AG1865&lt;&gt;"",1,0))</f>
        <v/>
      </c>
    </row>
    <row r="1866" customFormat="false" ht="15" hidden="false" customHeight="false" outlineLevel="0" collapsed="false">
      <c r="AL1866" s="7" t="str">
        <f aca="false">IF(A1866="","",IF(COUNTIF(A1866:A$2001,A1866)=1,1,0))</f>
        <v/>
      </c>
      <c r="AM1866" s="7" t="str">
        <f aca="true">IF(I1866="","",TODAY()-I1866)</f>
        <v/>
      </c>
      <c r="AN1866" s="7" t="str">
        <f aca="false">IF(A1866="","",IF(AND(E1866&lt;&gt;"33 確認済",E1866&lt;&gt;"36 送付中"),1,0))</f>
        <v/>
      </c>
      <c r="AO1866" s="7" t="str">
        <f aca="false">IF(A1866="","",IF(AG1866&lt;&gt;"",1,0))</f>
        <v/>
      </c>
    </row>
    <row r="1867" customFormat="false" ht="15" hidden="false" customHeight="false" outlineLevel="0" collapsed="false">
      <c r="AL1867" s="7" t="str">
        <f aca="false">IF(A1867="","",IF(COUNTIF(A1867:A$2001,A1867)=1,1,0))</f>
        <v/>
      </c>
      <c r="AM1867" s="7" t="str">
        <f aca="true">IF(I1867="","",TODAY()-I1867)</f>
        <v/>
      </c>
      <c r="AN1867" s="7" t="str">
        <f aca="false">IF(A1867="","",IF(AND(E1867&lt;&gt;"33 確認済",E1867&lt;&gt;"36 送付中"),1,0))</f>
        <v/>
      </c>
      <c r="AO1867" s="7" t="str">
        <f aca="false">IF(A1867="","",IF(AG1867&lt;&gt;"",1,0))</f>
        <v/>
      </c>
    </row>
    <row r="1868" customFormat="false" ht="15" hidden="false" customHeight="false" outlineLevel="0" collapsed="false">
      <c r="AL1868" s="7" t="str">
        <f aca="false">IF(A1868="","",IF(COUNTIF(A1868:A$2001,A1868)=1,1,0))</f>
        <v/>
      </c>
      <c r="AM1868" s="7" t="str">
        <f aca="true">IF(I1868="","",TODAY()-I1868)</f>
        <v/>
      </c>
      <c r="AN1868" s="7" t="str">
        <f aca="false">IF(A1868="","",IF(AND(E1868&lt;&gt;"33 確認済",E1868&lt;&gt;"36 送付中"),1,0))</f>
        <v/>
      </c>
      <c r="AO1868" s="7" t="str">
        <f aca="false">IF(A1868="","",IF(AG1868&lt;&gt;"",1,0))</f>
        <v/>
      </c>
    </row>
    <row r="1869" customFormat="false" ht="15" hidden="false" customHeight="false" outlineLevel="0" collapsed="false">
      <c r="AL1869" s="7" t="str">
        <f aca="false">IF(A1869="","",IF(COUNTIF(A1869:A$2001,A1869)=1,1,0))</f>
        <v/>
      </c>
      <c r="AM1869" s="7" t="str">
        <f aca="true">IF(I1869="","",TODAY()-I1869)</f>
        <v/>
      </c>
      <c r="AN1869" s="7" t="str">
        <f aca="false">IF(A1869="","",IF(AND(E1869&lt;&gt;"33 確認済",E1869&lt;&gt;"36 送付中"),1,0))</f>
        <v/>
      </c>
      <c r="AO1869" s="7" t="str">
        <f aca="false">IF(A1869="","",IF(AG1869&lt;&gt;"",1,0))</f>
        <v/>
      </c>
    </row>
    <row r="1870" customFormat="false" ht="15" hidden="false" customHeight="false" outlineLevel="0" collapsed="false">
      <c r="AL1870" s="7" t="str">
        <f aca="false">IF(A1870="","",IF(COUNTIF(A1870:A$2001,A1870)=1,1,0))</f>
        <v/>
      </c>
      <c r="AM1870" s="7" t="str">
        <f aca="true">IF(I1870="","",TODAY()-I1870)</f>
        <v/>
      </c>
      <c r="AN1870" s="7" t="str">
        <f aca="false">IF(A1870="","",IF(AND(E1870&lt;&gt;"33 確認済",E1870&lt;&gt;"36 送付中"),1,0))</f>
        <v/>
      </c>
      <c r="AO1870" s="7" t="str">
        <f aca="false">IF(A1870="","",IF(AG1870&lt;&gt;"",1,0))</f>
        <v/>
      </c>
    </row>
    <row r="1871" customFormat="false" ht="15" hidden="false" customHeight="false" outlineLevel="0" collapsed="false">
      <c r="AL1871" s="7" t="str">
        <f aca="false">IF(A1871="","",IF(COUNTIF(A1871:A$2001,A1871)=1,1,0))</f>
        <v/>
      </c>
      <c r="AM1871" s="7" t="str">
        <f aca="true">IF(I1871="","",TODAY()-I1871)</f>
        <v/>
      </c>
      <c r="AN1871" s="7" t="str">
        <f aca="false">IF(A1871="","",IF(AND(E1871&lt;&gt;"33 確認済",E1871&lt;&gt;"36 送付中"),1,0))</f>
        <v/>
      </c>
      <c r="AO1871" s="7" t="str">
        <f aca="false">IF(A1871="","",IF(AG1871&lt;&gt;"",1,0))</f>
        <v/>
      </c>
    </row>
    <row r="1872" customFormat="false" ht="15" hidden="false" customHeight="false" outlineLevel="0" collapsed="false">
      <c r="AL1872" s="7" t="str">
        <f aca="false">IF(A1872="","",IF(COUNTIF(A1872:A$2001,A1872)=1,1,0))</f>
        <v/>
      </c>
      <c r="AM1872" s="7" t="str">
        <f aca="true">IF(I1872="","",TODAY()-I1872)</f>
        <v/>
      </c>
      <c r="AN1872" s="7" t="str">
        <f aca="false">IF(A1872="","",IF(AND(E1872&lt;&gt;"33 確認済",E1872&lt;&gt;"36 送付中"),1,0))</f>
        <v/>
      </c>
      <c r="AO1872" s="7" t="str">
        <f aca="false">IF(A1872="","",IF(AG1872&lt;&gt;"",1,0))</f>
        <v/>
      </c>
    </row>
    <row r="1873" customFormat="false" ht="15" hidden="false" customHeight="false" outlineLevel="0" collapsed="false">
      <c r="AL1873" s="7" t="str">
        <f aca="false">IF(A1873="","",IF(COUNTIF(A1873:A$2001,A1873)=1,1,0))</f>
        <v/>
      </c>
      <c r="AM1873" s="7" t="str">
        <f aca="true">IF(I1873="","",TODAY()-I1873)</f>
        <v/>
      </c>
      <c r="AN1873" s="7" t="str">
        <f aca="false">IF(A1873="","",IF(AND(E1873&lt;&gt;"33 確認済",E1873&lt;&gt;"36 送付中"),1,0))</f>
        <v/>
      </c>
      <c r="AO1873" s="7" t="str">
        <f aca="false">IF(A1873="","",IF(AG1873&lt;&gt;"",1,0))</f>
        <v/>
      </c>
    </row>
    <row r="1874" customFormat="false" ht="15" hidden="false" customHeight="false" outlineLevel="0" collapsed="false">
      <c r="AL1874" s="7" t="str">
        <f aca="false">IF(A1874="","",IF(COUNTIF(A1874:A$2001,A1874)=1,1,0))</f>
        <v/>
      </c>
      <c r="AM1874" s="7" t="str">
        <f aca="true">IF(I1874="","",TODAY()-I1874)</f>
        <v/>
      </c>
      <c r="AN1874" s="7" t="str">
        <f aca="false">IF(A1874="","",IF(AND(E1874&lt;&gt;"33 確認済",E1874&lt;&gt;"36 送付中"),1,0))</f>
        <v/>
      </c>
      <c r="AO1874" s="7" t="str">
        <f aca="false">IF(A1874="","",IF(AG1874&lt;&gt;"",1,0))</f>
        <v/>
      </c>
    </row>
    <row r="1875" customFormat="false" ht="15" hidden="false" customHeight="false" outlineLevel="0" collapsed="false">
      <c r="AL1875" s="7" t="str">
        <f aca="false">IF(A1875="","",IF(COUNTIF(A1875:A$2001,A1875)=1,1,0))</f>
        <v/>
      </c>
      <c r="AM1875" s="7" t="str">
        <f aca="true">IF(I1875="","",TODAY()-I1875)</f>
        <v/>
      </c>
      <c r="AN1875" s="7" t="str">
        <f aca="false">IF(A1875="","",IF(AND(E1875&lt;&gt;"33 確認済",E1875&lt;&gt;"36 送付中"),1,0))</f>
        <v/>
      </c>
      <c r="AO1875" s="7" t="str">
        <f aca="false">IF(A1875="","",IF(AG1875&lt;&gt;"",1,0))</f>
        <v/>
      </c>
    </row>
    <row r="1876" customFormat="false" ht="15" hidden="false" customHeight="false" outlineLevel="0" collapsed="false">
      <c r="AL1876" s="7" t="str">
        <f aca="false">IF(A1876="","",IF(COUNTIF(A1876:A$2001,A1876)=1,1,0))</f>
        <v/>
      </c>
      <c r="AM1876" s="7" t="str">
        <f aca="true">IF(I1876="","",TODAY()-I1876)</f>
        <v/>
      </c>
      <c r="AN1876" s="7" t="str">
        <f aca="false">IF(A1876="","",IF(AND(E1876&lt;&gt;"33 確認済",E1876&lt;&gt;"36 送付中"),1,0))</f>
        <v/>
      </c>
      <c r="AO1876" s="7" t="str">
        <f aca="false">IF(A1876="","",IF(AG1876&lt;&gt;"",1,0))</f>
        <v/>
      </c>
    </row>
    <row r="1877" customFormat="false" ht="15" hidden="false" customHeight="false" outlineLevel="0" collapsed="false">
      <c r="AL1877" s="7" t="str">
        <f aca="false">IF(A1877="","",IF(COUNTIF(A1877:A$2001,A1877)=1,1,0))</f>
        <v/>
      </c>
      <c r="AM1877" s="7" t="str">
        <f aca="true">IF(I1877="","",TODAY()-I1877)</f>
        <v/>
      </c>
      <c r="AN1877" s="7" t="str">
        <f aca="false">IF(A1877="","",IF(AND(E1877&lt;&gt;"33 確認済",E1877&lt;&gt;"36 送付中"),1,0))</f>
        <v/>
      </c>
      <c r="AO1877" s="7" t="str">
        <f aca="false">IF(A1877="","",IF(AG1877&lt;&gt;"",1,0))</f>
        <v/>
      </c>
    </row>
    <row r="1878" customFormat="false" ht="15" hidden="false" customHeight="false" outlineLevel="0" collapsed="false">
      <c r="AL1878" s="7" t="str">
        <f aca="false">IF(A1878="","",IF(COUNTIF(A1878:A$2001,A1878)=1,1,0))</f>
        <v/>
      </c>
      <c r="AM1878" s="7" t="str">
        <f aca="true">IF(I1878="","",TODAY()-I1878)</f>
        <v/>
      </c>
      <c r="AN1878" s="7" t="str">
        <f aca="false">IF(A1878="","",IF(AND(E1878&lt;&gt;"33 確認済",E1878&lt;&gt;"36 送付中"),1,0))</f>
        <v/>
      </c>
      <c r="AO1878" s="7" t="str">
        <f aca="false">IF(A1878="","",IF(AG1878&lt;&gt;"",1,0))</f>
        <v/>
      </c>
    </row>
    <row r="1879" customFormat="false" ht="15" hidden="false" customHeight="false" outlineLevel="0" collapsed="false">
      <c r="AL1879" s="7" t="str">
        <f aca="false">IF(A1879="","",IF(COUNTIF(A1879:A$2001,A1879)=1,1,0))</f>
        <v/>
      </c>
      <c r="AM1879" s="7" t="str">
        <f aca="true">IF(I1879="","",TODAY()-I1879)</f>
        <v/>
      </c>
      <c r="AN1879" s="7" t="str">
        <f aca="false">IF(A1879="","",IF(AND(E1879&lt;&gt;"33 確認済",E1879&lt;&gt;"36 送付中"),1,0))</f>
        <v/>
      </c>
      <c r="AO1879" s="7" t="str">
        <f aca="false">IF(A1879="","",IF(AG1879&lt;&gt;"",1,0))</f>
        <v/>
      </c>
    </row>
    <row r="1880" customFormat="false" ht="15" hidden="false" customHeight="false" outlineLevel="0" collapsed="false">
      <c r="AL1880" s="7" t="str">
        <f aca="false">IF(A1880="","",IF(COUNTIF(A1880:A$2001,A1880)=1,1,0))</f>
        <v/>
      </c>
      <c r="AM1880" s="7" t="str">
        <f aca="true">IF(I1880="","",TODAY()-I1880)</f>
        <v/>
      </c>
      <c r="AN1880" s="7" t="str">
        <f aca="false">IF(A1880="","",IF(AND(E1880&lt;&gt;"33 確認済",E1880&lt;&gt;"36 送付中"),1,0))</f>
        <v/>
      </c>
      <c r="AO1880" s="7" t="str">
        <f aca="false">IF(A1880="","",IF(AG1880&lt;&gt;"",1,0))</f>
        <v/>
      </c>
    </row>
    <row r="1881" customFormat="false" ht="15" hidden="false" customHeight="false" outlineLevel="0" collapsed="false">
      <c r="AL1881" s="7" t="str">
        <f aca="false">IF(A1881="","",IF(COUNTIF(A1881:A$2001,A1881)=1,1,0))</f>
        <v/>
      </c>
      <c r="AM1881" s="7" t="str">
        <f aca="true">IF(I1881="","",TODAY()-I1881)</f>
        <v/>
      </c>
      <c r="AN1881" s="7" t="str">
        <f aca="false">IF(A1881="","",IF(AND(E1881&lt;&gt;"33 確認済",E1881&lt;&gt;"36 送付中"),1,0))</f>
        <v/>
      </c>
      <c r="AO1881" s="7" t="str">
        <f aca="false">IF(A1881="","",IF(AG1881&lt;&gt;"",1,0))</f>
        <v/>
      </c>
    </row>
    <row r="1882" customFormat="false" ht="15" hidden="false" customHeight="false" outlineLevel="0" collapsed="false">
      <c r="AL1882" s="7" t="str">
        <f aca="false">IF(A1882="","",IF(COUNTIF(A1882:A$2001,A1882)=1,1,0))</f>
        <v/>
      </c>
      <c r="AM1882" s="7" t="str">
        <f aca="true">IF(I1882="","",TODAY()-I1882)</f>
        <v/>
      </c>
      <c r="AN1882" s="7" t="str">
        <f aca="false">IF(A1882="","",IF(AND(E1882&lt;&gt;"33 確認済",E1882&lt;&gt;"36 送付中"),1,0))</f>
        <v/>
      </c>
      <c r="AO1882" s="7" t="str">
        <f aca="false">IF(A1882="","",IF(AG1882&lt;&gt;"",1,0))</f>
        <v/>
      </c>
    </row>
    <row r="1883" customFormat="false" ht="15" hidden="false" customHeight="false" outlineLevel="0" collapsed="false">
      <c r="AL1883" s="7" t="str">
        <f aca="false">IF(A1883="","",IF(COUNTIF(A1883:A$2001,A1883)=1,1,0))</f>
        <v/>
      </c>
      <c r="AM1883" s="7" t="str">
        <f aca="true">IF(I1883="","",TODAY()-I1883)</f>
        <v/>
      </c>
      <c r="AN1883" s="7" t="str">
        <f aca="false">IF(A1883="","",IF(AND(E1883&lt;&gt;"33 確認済",E1883&lt;&gt;"36 送付中"),1,0))</f>
        <v/>
      </c>
      <c r="AO1883" s="7" t="str">
        <f aca="false">IF(A1883="","",IF(AG1883&lt;&gt;"",1,0))</f>
        <v/>
      </c>
    </row>
    <row r="1884" customFormat="false" ht="15" hidden="false" customHeight="false" outlineLevel="0" collapsed="false">
      <c r="AL1884" s="7" t="str">
        <f aca="false">IF(A1884="","",IF(COUNTIF(A1884:A$2001,A1884)=1,1,0))</f>
        <v/>
      </c>
      <c r="AM1884" s="7" t="str">
        <f aca="true">IF(I1884="","",TODAY()-I1884)</f>
        <v/>
      </c>
      <c r="AN1884" s="7" t="str">
        <f aca="false">IF(A1884="","",IF(AND(E1884&lt;&gt;"33 確認済",E1884&lt;&gt;"36 送付中"),1,0))</f>
        <v/>
      </c>
      <c r="AO1884" s="7" t="str">
        <f aca="false">IF(A1884="","",IF(AG1884&lt;&gt;"",1,0))</f>
        <v/>
      </c>
    </row>
    <row r="1885" customFormat="false" ht="15" hidden="false" customHeight="false" outlineLevel="0" collapsed="false">
      <c r="AL1885" s="7" t="str">
        <f aca="false">IF(A1885="","",IF(COUNTIF(A1885:A$2001,A1885)=1,1,0))</f>
        <v/>
      </c>
      <c r="AM1885" s="7" t="str">
        <f aca="true">IF(I1885="","",TODAY()-I1885)</f>
        <v/>
      </c>
      <c r="AN1885" s="7" t="str">
        <f aca="false">IF(A1885="","",IF(AND(E1885&lt;&gt;"33 確認済",E1885&lt;&gt;"36 送付中"),1,0))</f>
        <v/>
      </c>
      <c r="AO1885" s="7" t="str">
        <f aca="false">IF(A1885="","",IF(AG1885&lt;&gt;"",1,0))</f>
        <v/>
      </c>
    </row>
    <row r="1886" customFormat="false" ht="15" hidden="false" customHeight="false" outlineLevel="0" collapsed="false">
      <c r="AL1886" s="7" t="str">
        <f aca="false">IF(A1886="","",IF(COUNTIF(A1886:A$2001,A1886)=1,1,0))</f>
        <v/>
      </c>
      <c r="AM1886" s="7" t="str">
        <f aca="true">IF(I1886="","",TODAY()-I1886)</f>
        <v/>
      </c>
      <c r="AN1886" s="7" t="str">
        <f aca="false">IF(A1886="","",IF(AND(E1886&lt;&gt;"33 確認済",E1886&lt;&gt;"36 送付中"),1,0))</f>
        <v/>
      </c>
      <c r="AO1886" s="7" t="str">
        <f aca="false">IF(A1886="","",IF(AG1886&lt;&gt;"",1,0))</f>
        <v/>
      </c>
    </row>
    <row r="1887" customFormat="false" ht="15" hidden="false" customHeight="false" outlineLevel="0" collapsed="false">
      <c r="AL1887" s="7" t="str">
        <f aca="false">IF(A1887="","",IF(COUNTIF(A1887:A$2001,A1887)=1,1,0))</f>
        <v/>
      </c>
      <c r="AM1887" s="7" t="str">
        <f aca="true">IF(I1887="","",TODAY()-I1887)</f>
        <v/>
      </c>
      <c r="AN1887" s="7" t="str">
        <f aca="false">IF(A1887="","",IF(AND(E1887&lt;&gt;"33 確認済",E1887&lt;&gt;"36 送付中"),1,0))</f>
        <v/>
      </c>
      <c r="AO1887" s="7" t="str">
        <f aca="false">IF(A1887="","",IF(AG1887&lt;&gt;"",1,0))</f>
        <v/>
      </c>
    </row>
    <row r="1888" customFormat="false" ht="15" hidden="false" customHeight="false" outlineLevel="0" collapsed="false">
      <c r="AL1888" s="7" t="str">
        <f aca="false">IF(A1888="","",IF(COUNTIF(A1888:A$2001,A1888)=1,1,0))</f>
        <v/>
      </c>
      <c r="AM1888" s="7" t="str">
        <f aca="true">IF(I1888="","",TODAY()-I1888)</f>
        <v/>
      </c>
      <c r="AN1888" s="7" t="str">
        <f aca="false">IF(A1888="","",IF(AND(E1888&lt;&gt;"33 確認済",E1888&lt;&gt;"36 送付中"),1,0))</f>
        <v/>
      </c>
      <c r="AO1888" s="7" t="str">
        <f aca="false">IF(A1888="","",IF(AG1888&lt;&gt;"",1,0))</f>
        <v/>
      </c>
    </row>
    <row r="1889" customFormat="false" ht="15" hidden="false" customHeight="false" outlineLevel="0" collapsed="false">
      <c r="AL1889" s="7" t="str">
        <f aca="false">IF(A1889="","",IF(COUNTIF(A1889:A$2001,A1889)=1,1,0))</f>
        <v/>
      </c>
      <c r="AM1889" s="7" t="str">
        <f aca="true">IF(I1889="","",TODAY()-I1889)</f>
        <v/>
      </c>
      <c r="AN1889" s="7" t="str">
        <f aca="false">IF(A1889="","",IF(AND(E1889&lt;&gt;"33 確認済",E1889&lt;&gt;"36 送付中"),1,0))</f>
        <v/>
      </c>
      <c r="AO1889" s="7" t="str">
        <f aca="false">IF(A1889="","",IF(AG1889&lt;&gt;"",1,0))</f>
        <v/>
      </c>
    </row>
    <row r="1890" customFormat="false" ht="15" hidden="false" customHeight="false" outlineLevel="0" collapsed="false">
      <c r="AL1890" s="7" t="str">
        <f aca="false">IF(A1890="","",IF(COUNTIF(A1890:A$2001,A1890)=1,1,0))</f>
        <v/>
      </c>
      <c r="AM1890" s="7" t="str">
        <f aca="true">IF(I1890="","",TODAY()-I1890)</f>
        <v/>
      </c>
      <c r="AN1890" s="7" t="str">
        <f aca="false">IF(A1890="","",IF(AND(E1890&lt;&gt;"33 確認済",E1890&lt;&gt;"36 送付中"),1,0))</f>
        <v/>
      </c>
      <c r="AO1890" s="7" t="str">
        <f aca="false">IF(A1890="","",IF(AG1890&lt;&gt;"",1,0))</f>
        <v/>
      </c>
    </row>
    <row r="1891" customFormat="false" ht="15" hidden="false" customHeight="false" outlineLevel="0" collapsed="false">
      <c r="AL1891" s="7" t="str">
        <f aca="false">IF(A1891="","",IF(COUNTIF(A1891:A$2001,A1891)=1,1,0))</f>
        <v/>
      </c>
      <c r="AM1891" s="7" t="str">
        <f aca="true">IF(I1891="","",TODAY()-I1891)</f>
        <v/>
      </c>
      <c r="AN1891" s="7" t="str">
        <f aca="false">IF(A1891="","",IF(AND(E1891&lt;&gt;"33 確認済",E1891&lt;&gt;"36 送付中"),1,0))</f>
        <v/>
      </c>
      <c r="AO1891" s="7" t="str">
        <f aca="false">IF(A1891="","",IF(AG1891&lt;&gt;"",1,0))</f>
        <v/>
      </c>
    </row>
    <row r="1892" customFormat="false" ht="15" hidden="false" customHeight="false" outlineLevel="0" collapsed="false">
      <c r="AL1892" s="7" t="str">
        <f aca="false">IF(A1892="","",IF(COUNTIF(A1892:A$2001,A1892)=1,1,0))</f>
        <v/>
      </c>
      <c r="AM1892" s="7" t="str">
        <f aca="true">IF(I1892="","",TODAY()-I1892)</f>
        <v/>
      </c>
      <c r="AN1892" s="7" t="str">
        <f aca="false">IF(A1892="","",IF(AND(E1892&lt;&gt;"33 確認済",E1892&lt;&gt;"36 送付中"),1,0))</f>
        <v/>
      </c>
      <c r="AO1892" s="7" t="str">
        <f aca="false">IF(A1892="","",IF(AG1892&lt;&gt;"",1,0))</f>
        <v/>
      </c>
    </row>
    <row r="1893" customFormat="false" ht="15" hidden="false" customHeight="false" outlineLevel="0" collapsed="false">
      <c r="AL1893" s="7" t="str">
        <f aca="false">IF(A1893="","",IF(COUNTIF(A1893:A$2001,A1893)=1,1,0))</f>
        <v/>
      </c>
      <c r="AM1893" s="7" t="str">
        <f aca="true">IF(I1893="","",TODAY()-I1893)</f>
        <v/>
      </c>
      <c r="AN1893" s="7" t="str">
        <f aca="false">IF(A1893="","",IF(AND(E1893&lt;&gt;"33 確認済",E1893&lt;&gt;"36 送付中"),1,0))</f>
        <v/>
      </c>
      <c r="AO1893" s="7" t="str">
        <f aca="false">IF(A1893="","",IF(AG1893&lt;&gt;"",1,0))</f>
        <v/>
      </c>
    </row>
    <row r="1894" customFormat="false" ht="15" hidden="false" customHeight="false" outlineLevel="0" collapsed="false">
      <c r="AL1894" s="7" t="str">
        <f aca="false">IF(A1894="","",IF(COUNTIF(A1894:A$2001,A1894)=1,1,0))</f>
        <v/>
      </c>
      <c r="AM1894" s="7" t="str">
        <f aca="true">IF(I1894="","",TODAY()-I1894)</f>
        <v/>
      </c>
      <c r="AN1894" s="7" t="str">
        <f aca="false">IF(A1894="","",IF(AND(E1894&lt;&gt;"33 確認済",E1894&lt;&gt;"36 送付中"),1,0))</f>
        <v/>
      </c>
      <c r="AO1894" s="7" t="str">
        <f aca="false">IF(A1894="","",IF(AG1894&lt;&gt;"",1,0))</f>
        <v/>
      </c>
    </row>
    <row r="1895" customFormat="false" ht="15" hidden="false" customHeight="false" outlineLevel="0" collapsed="false">
      <c r="AL1895" s="7" t="str">
        <f aca="false">IF(A1895="","",IF(COUNTIF(A1895:A$2001,A1895)=1,1,0))</f>
        <v/>
      </c>
      <c r="AM1895" s="7" t="str">
        <f aca="true">IF(I1895="","",TODAY()-I1895)</f>
        <v/>
      </c>
      <c r="AN1895" s="7" t="str">
        <f aca="false">IF(A1895="","",IF(AND(E1895&lt;&gt;"33 確認済",E1895&lt;&gt;"36 送付中"),1,0))</f>
        <v/>
      </c>
      <c r="AO1895" s="7" t="str">
        <f aca="false">IF(A1895="","",IF(AG1895&lt;&gt;"",1,0))</f>
        <v/>
      </c>
    </row>
    <row r="1896" customFormat="false" ht="15" hidden="false" customHeight="false" outlineLevel="0" collapsed="false">
      <c r="AL1896" s="7" t="str">
        <f aca="false">IF(A1896="","",IF(COUNTIF(A1896:A$2001,A1896)=1,1,0))</f>
        <v/>
      </c>
      <c r="AM1896" s="7" t="str">
        <f aca="true">IF(I1896="","",TODAY()-I1896)</f>
        <v/>
      </c>
      <c r="AN1896" s="7" t="str">
        <f aca="false">IF(A1896="","",IF(AND(E1896&lt;&gt;"33 確認済",E1896&lt;&gt;"36 送付中"),1,0))</f>
        <v/>
      </c>
      <c r="AO1896" s="7" t="str">
        <f aca="false">IF(A1896="","",IF(AG1896&lt;&gt;"",1,0))</f>
        <v/>
      </c>
    </row>
    <row r="1897" customFormat="false" ht="15" hidden="false" customHeight="false" outlineLevel="0" collapsed="false">
      <c r="AL1897" s="7" t="str">
        <f aca="false">IF(A1897="","",IF(COUNTIF(A1897:A$2001,A1897)=1,1,0))</f>
        <v/>
      </c>
      <c r="AM1897" s="7" t="str">
        <f aca="true">IF(I1897="","",TODAY()-I1897)</f>
        <v/>
      </c>
      <c r="AN1897" s="7" t="str">
        <f aca="false">IF(A1897="","",IF(AND(E1897&lt;&gt;"33 確認済",E1897&lt;&gt;"36 送付中"),1,0))</f>
        <v/>
      </c>
      <c r="AO1897" s="7" t="str">
        <f aca="false">IF(A1897="","",IF(AG1897&lt;&gt;"",1,0))</f>
        <v/>
      </c>
    </row>
    <row r="1898" customFormat="false" ht="15" hidden="false" customHeight="false" outlineLevel="0" collapsed="false">
      <c r="AL1898" s="7" t="str">
        <f aca="false">IF(A1898="","",IF(COUNTIF(A1898:A$2001,A1898)=1,1,0))</f>
        <v/>
      </c>
      <c r="AM1898" s="7" t="str">
        <f aca="true">IF(I1898="","",TODAY()-I1898)</f>
        <v/>
      </c>
      <c r="AN1898" s="7" t="str">
        <f aca="false">IF(A1898="","",IF(AND(E1898&lt;&gt;"33 確認済",E1898&lt;&gt;"36 送付中"),1,0))</f>
        <v/>
      </c>
      <c r="AO1898" s="7" t="str">
        <f aca="false">IF(A1898="","",IF(AG1898&lt;&gt;"",1,0))</f>
        <v/>
      </c>
    </row>
    <row r="1899" customFormat="false" ht="15" hidden="false" customHeight="false" outlineLevel="0" collapsed="false">
      <c r="AL1899" s="7" t="str">
        <f aca="false">IF(A1899="","",IF(COUNTIF(A1899:A$2001,A1899)=1,1,0))</f>
        <v/>
      </c>
      <c r="AM1899" s="7" t="str">
        <f aca="true">IF(I1899="","",TODAY()-I1899)</f>
        <v/>
      </c>
      <c r="AN1899" s="7" t="str">
        <f aca="false">IF(A1899="","",IF(AND(E1899&lt;&gt;"33 確認済",E1899&lt;&gt;"36 送付中"),1,0))</f>
        <v/>
      </c>
      <c r="AO1899" s="7" t="str">
        <f aca="false">IF(A1899="","",IF(AG1899&lt;&gt;"",1,0))</f>
        <v/>
      </c>
    </row>
    <row r="1900" customFormat="false" ht="15" hidden="false" customHeight="false" outlineLevel="0" collapsed="false">
      <c r="AL1900" s="7" t="str">
        <f aca="false">IF(A1900="","",IF(COUNTIF(A1900:A$2001,A1900)=1,1,0))</f>
        <v/>
      </c>
      <c r="AM1900" s="7" t="str">
        <f aca="true">IF(I1900="","",TODAY()-I1900)</f>
        <v/>
      </c>
      <c r="AN1900" s="7" t="str">
        <f aca="false">IF(A1900="","",IF(AND(E1900&lt;&gt;"33 確認済",E1900&lt;&gt;"36 送付中"),1,0))</f>
        <v/>
      </c>
      <c r="AO1900" s="7" t="str">
        <f aca="false">IF(A1900="","",IF(AG1900&lt;&gt;"",1,0))</f>
        <v/>
      </c>
    </row>
    <row r="1901" customFormat="false" ht="15" hidden="false" customHeight="false" outlineLevel="0" collapsed="false">
      <c r="AL1901" s="7" t="str">
        <f aca="false">IF(A1901="","",IF(COUNTIF(A1901:A$2001,A1901)=1,1,0))</f>
        <v/>
      </c>
      <c r="AM1901" s="7" t="str">
        <f aca="true">IF(I1901="","",TODAY()-I1901)</f>
        <v/>
      </c>
      <c r="AN1901" s="7" t="str">
        <f aca="false">IF(A1901="","",IF(AND(E1901&lt;&gt;"33 確認済",E1901&lt;&gt;"36 送付中"),1,0))</f>
        <v/>
      </c>
      <c r="AO1901" s="7" t="str">
        <f aca="false">IF(A1901="","",IF(AG1901&lt;&gt;"",1,0))</f>
        <v/>
      </c>
    </row>
    <row r="1902" customFormat="false" ht="15" hidden="false" customHeight="false" outlineLevel="0" collapsed="false">
      <c r="AL1902" s="7" t="str">
        <f aca="false">IF(A1902="","",IF(COUNTIF(A1902:A$2001,A1902)=1,1,0))</f>
        <v/>
      </c>
      <c r="AM1902" s="7" t="str">
        <f aca="true">IF(I1902="","",TODAY()-I1902)</f>
        <v/>
      </c>
      <c r="AN1902" s="7" t="str">
        <f aca="false">IF(A1902="","",IF(AND(E1902&lt;&gt;"33 確認済",E1902&lt;&gt;"36 送付中"),1,0))</f>
        <v/>
      </c>
      <c r="AO1902" s="7" t="str">
        <f aca="false">IF(A1902="","",IF(AG1902&lt;&gt;"",1,0))</f>
        <v/>
      </c>
    </row>
    <row r="1903" customFormat="false" ht="15" hidden="false" customHeight="false" outlineLevel="0" collapsed="false">
      <c r="AL1903" s="7" t="str">
        <f aca="false">IF(A1903="","",IF(COUNTIF(A1903:A$2001,A1903)=1,1,0))</f>
        <v/>
      </c>
      <c r="AM1903" s="7" t="str">
        <f aca="true">IF(I1903="","",TODAY()-I1903)</f>
        <v/>
      </c>
      <c r="AN1903" s="7" t="str">
        <f aca="false">IF(A1903="","",IF(AND(E1903&lt;&gt;"33 確認済",E1903&lt;&gt;"36 送付中"),1,0))</f>
        <v/>
      </c>
      <c r="AO1903" s="7" t="str">
        <f aca="false">IF(A1903="","",IF(AG1903&lt;&gt;"",1,0))</f>
        <v/>
      </c>
    </row>
    <row r="1904" customFormat="false" ht="15" hidden="false" customHeight="false" outlineLevel="0" collapsed="false">
      <c r="AL1904" s="7" t="str">
        <f aca="false">IF(A1904="","",IF(COUNTIF(A1904:A$2001,A1904)=1,1,0))</f>
        <v/>
      </c>
      <c r="AM1904" s="7" t="str">
        <f aca="true">IF(I1904="","",TODAY()-I1904)</f>
        <v/>
      </c>
      <c r="AN1904" s="7" t="str">
        <f aca="false">IF(A1904="","",IF(AND(E1904&lt;&gt;"33 確認済",E1904&lt;&gt;"36 送付中"),1,0))</f>
        <v/>
      </c>
      <c r="AO1904" s="7" t="str">
        <f aca="false">IF(A1904="","",IF(AG1904&lt;&gt;"",1,0))</f>
        <v/>
      </c>
    </row>
    <row r="1905" customFormat="false" ht="15" hidden="false" customHeight="false" outlineLevel="0" collapsed="false">
      <c r="AL1905" s="7" t="str">
        <f aca="false">IF(A1905="","",IF(COUNTIF(A1905:A$2001,A1905)=1,1,0))</f>
        <v/>
      </c>
      <c r="AM1905" s="7" t="str">
        <f aca="true">IF(I1905="","",TODAY()-I1905)</f>
        <v/>
      </c>
      <c r="AN1905" s="7" t="str">
        <f aca="false">IF(A1905="","",IF(AND(E1905&lt;&gt;"33 確認済",E1905&lt;&gt;"36 送付中"),1,0))</f>
        <v/>
      </c>
      <c r="AO1905" s="7" t="str">
        <f aca="false">IF(A1905="","",IF(AG1905&lt;&gt;"",1,0))</f>
        <v/>
      </c>
    </row>
    <row r="1906" customFormat="false" ht="15" hidden="false" customHeight="false" outlineLevel="0" collapsed="false">
      <c r="AL1906" s="7" t="str">
        <f aca="false">IF(A1906="","",IF(COUNTIF(A1906:A$2001,A1906)=1,1,0))</f>
        <v/>
      </c>
      <c r="AM1906" s="7" t="str">
        <f aca="true">IF(I1906="","",TODAY()-I1906)</f>
        <v/>
      </c>
      <c r="AN1906" s="7" t="str">
        <f aca="false">IF(A1906="","",IF(AND(E1906&lt;&gt;"33 確認済",E1906&lt;&gt;"36 送付中"),1,0))</f>
        <v/>
      </c>
      <c r="AO1906" s="7" t="str">
        <f aca="false">IF(A1906="","",IF(AG1906&lt;&gt;"",1,0))</f>
        <v/>
      </c>
    </row>
    <row r="1907" customFormat="false" ht="15" hidden="false" customHeight="false" outlineLevel="0" collapsed="false">
      <c r="AL1907" s="7" t="str">
        <f aca="false">IF(A1907="","",IF(COUNTIF(A1907:A$2001,A1907)=1,1,0))</f>
        <v/>
      </c>
      <c r="AM1907" s="7" t="str">
        <f aca="true">IF(I1907="","",TODAY()-I1907)</f>
        <v/>
      </c>
      <c r="AN1907" s="7" t="str">
        <f aca="false">IF(A1907="","",IF(AND(E1907&lt;&gt;"33 確認済",E1907&lt;&gt;"36 送付中"),1,0))</f>
        <v/>
      </c>
      <c r="AO1907" s="7" t="str">
        <f aca="false">IF(A1907="","",IF(AG1907&lt;&gt;"",1,0))</f>
        <v/>
      </c>
    </row>
    <row r="1908" customFormat="false" ht="15" hidden="false" customHeight="false" outlineLevel="0" collapsed="false">
      <c r="AL1908" s="7" t="str">
        <f aca="false">IF(A1908="","",IF(COUNTIF(A1908:A$2001,A1908)=1,1,0))</f>
        <v/>
      </c>
      <c r="AM1908" s="7" t="str">
        <f aca="true">IF(I1908="","",TODAY()-I1908)</f>
        <v/>
      </c>
      <c r="AN1908" s="7" t="str">
        <f aca="false">IF(A1908="","",IF(AND(E1908&lt;&gt;"33 確認済",E1908&lt;&gt;"36 送付中"),1,0))</f>
        <v/>
      </c>
      <c r="AO1908" s="7" t="str">
        <f aca="false">IF(A1908="","",IF(AG1908&lt;&gt;"",1,0))</f>
        <v/>
      </c>
    </row>
    <row r="1909" customFormat="false" ht="15" hidden="false" customHeight="false" outlineLevel="0" collapsed="false">
      <c r="AL1909" s="7" t="str">
        <f aca="false">IF(A1909="","",IF(COUNTIF(A1909:A$2001,A1909)=1,1,0))</f>
        <v/>
      </c>
      <c r="AM1909" s="7" t="str">
        <f aca="true">IF(I1909="","",TODAY()-I1909)</f>
        <v/>
      </c>
      <c r="AN1909" s="7" t="str">
        <f aca="false">IF(A1909="","",IF(AND(E1909&lt;&gt;"33 確認済",E1909&lt;&gt;"36 送付中"),1,0))</f>
        <v/>
      </c>
      <c r="AO1909" s="7" t="str">
        <f aca="false">IF(A1909="","",IF(AG1909&lt;&gt;"",1,0))</f>
        <v/>
      </c>
    </row>
    <row r="1910" customFormat="false" ht="15" hidden="false" customHeight="false" outlineLevel="0" collapsed="false">
      <c r="AL1910" s="7" t="str">
        <f aca="false">IF(A1910="","",IF(COUNTIF(A1910:A$2001,A1910)=1,1,0))</f>
        <v/>
      </c>
      <c r="AM1910" s="7" t="str">
        <f aca="true">IF(I1910="","",TODAY()-I1910)</f>
        <v/>
      </c>
      <c r="AN1910" s="7" t="str">
        <f aca="false">IF(A1910="","",IF(AND(E1910&lt;&gt;"33 確認済",E1910&lt;&gt;"36 送付中"),1,0))</f>
        <v/>
      </c>
      <c r="AO1910" s="7" t="str">
        <f aca="false">IF(A1910="","",IF(AG1910&lt;&gt;"",1,0))</f>
        <v/>
      </c>
    </row>
    <row r="1911" customFormat="false" ht="15" hidden="false" customHeight="false" outlineLevel="0" collapsed="false">
      <c r="AL1911" s="7" t="str">
        <f aca="false">IF(A1911="","",IF(COUNTIF(A1911:A$2001,A1911)=1,1,0))</f>
        <v/>
      </c>
      <c r="AM1911" s="7" t="str">
        <f aca="true">IF(I1911="","",TODAY()-I1911)</f>
        <v/>
      </c>
      <c r="AN1911" s="7" t="str">
        <f aca="false">IF(A1911="","",IF(AND(E1911&lt;&gt;"33 確認済",E1911&lt;&gt;"36 送付中"),1,0))</f>
        <v/>
      </c>
      <c r="AO1911" s="7" t="str">
        <f aca="false">IF(A1911="","",IF(AG1911&lt;&gt;"",1,0))</f>
        <v/>
      </c>
    </row>
    <row r="1912" customFormat="false" ht="15" hidden="false" customHeight="false" outlineLevel="0" collapsed="false">
      <c r="AL1912" s="7" t="str">
        <f aca="false">IF(A1912="","",IF(COUNTIF(A1912:A$2001,A1912)=1,1,0))</f>
        <v/>
      </c>
      <c r="AM1912" s="7" t="str">
        <f aca="true">IF(I1912="","",TODAY()-I1912)</f>
        <v/>
      </c>
      <c r="AN1912" s="7" t="str">
        <f aca="false">IF(A1912="","",IF(AND(E1912&lt;&gt;"33 確認済",E1912&lt;&gt;"36 送付中"),1,0))</f>
        <v/>
      </c>
      <c r="AO1912" s="7" t="str">
        <f aca="false">IF(A1912="","",IF(AG1912&lt;&gt;"",1,0))</f>
        <v/>
      </c>
    </row>
    <row r="1913" customFormat="false" ht="15" hidden="false" customHeight="false" outlineLevel="0" collapsed="false">
      <c r="AL1913" s="7" t="str">
        <f aca="false">IF(A1913="","",IF(COUNTIF(A1913:A$2001,A1913)=1,1,0))</f>
        <v/>
      </c>
      <c r="AM1913" s="7" t="str">
        <f aca="true">IF(I1913="","",TODAY()-I1913)</f>
        <v/>
      </c>
      <c r="AN1913" s="7" t="str">
        <f aca="false">IF(A1913="","",IF(AND(E1913&lt;&gt;"33 確認済",E1913&lt;&gt;"36 送付中"),1,0))</f>
        <v/>
      </c>
      <c r="AO1913" s="7" t="str">
        <f aca="false">IF(A1913="","",IF(AG1913&lt;&gt;"",1,0))</f>
        <v/>
      </c>
    </row>
    <row r="1914" customFormat="false" ht="15" hidden="false" customHeight="false" outlineLevel="0" collapsed="false">
      <c r="AL1914" s="7" t="str">
        <f aca="false">IF(A1914="","",IF(COUNTIF(A1914:A$2001,A1914)=1,1,0))</f>
        <v/>
      </c>
      <c r="AM1914" s="7" t="str">
        <f aca="true">IF(I1914="","",TODAY()-I1914)</f>
        <v/>
      </c>
      <c r="AN1914" s="7" t="str">
        <f aca="false">IF(A1914="","",IF(AND(E1914&lt;&gt;"33 確認済",E1914&lt;&gt;"36 送付中"),1,0))</f>
        <v/>
      </c>
      <c r="AO1914" s="7" t="str">
        <f aca="false">IF(A1914="","",IF(AG1914&lt;&gt;"",1,0))</f>
        <v/>
      </c>
    </row>
    <row r="1915" customFormat="false" ht="15" hidden="false" customHeight="false" outlineLevel="0" collapsed="false">
      <c r="AL1915" s="7" t="str">
        <f aca="false">IF(A1915="","",IF(COUNTIF(A1915:A$2001,A1915)=1,1,0))</f>
        <v/>
      </c>
      <c r="AM1915" s="7" t="str">
        <f aca="true">IF(I1915="","",TODAY()-I1915)</f>
        <v/>
      </c>
      <c r="AN1915" s="7" t="str">
        <f aca="false">IF(A1915="","",IF(AND(E1915&lt;&gt;"33 確認済",E1915&lt;&gt;"36 送付中"),1,0))</f>
        <v/>
      </c>
      <c r="AO1915" s="7" t="str">
        <f aca="false">IF(A1915="","",IF(AG1915&lt;&gt;"",1,0))</f>
        <v/>
      </c>
    </row>
    <row r="1916" customFormat="false" ht="15" hidden="false" customHeight="false" outlineLevel="0" collapsed="false">
      <c r="AL1916" s="7" t="str">
        <f aca="false">IF(A1916="","",IF(COUNTIF(A1916:A$2001,A1916)=1,1,0))</f>
        <v/>
      </c>
      <c r="AM1916" s="7" t="str">
        <f aca="true">IF(I1916="","",TODAY()-I1916)</f>
        <v/>
      </c>
      <c r="AN1916" s="7" t="str">
        <f aca="false">IF(A1916="","",IF(AND(E1916&lt;&gt;"33 確認済",E1916&lt;&gt;"36 送付中"),1,0))</f>
        <v/>
      </c>
      <c r="AO1916" s="7" t="str">
        <f aca="false">IF(A1916="","",IF(AG1916&lt;&gt;"",1,0))</f>
        <v/>
      </c>
    </row>
    <row r="1917" customFormat="false" ht="15" hidden="false" customHeight="false" outlineLevel="0" collapsed="false">
      <c r="AL1917" s="7" t="str">
        <f aca="false">IF(A1917="","",IF(COUNTIF(A1917:A$2001,A1917)=1,1,0))</f>
        <v/>
      </c>
      <c r="AM1917" s="7" t="str">
        <f aca="true">IF(I1917="","",TODAY()-I1917)</f>
        <v/>
      </c>
      <c r="AN1917" s="7" t="str">
        <f aca="false">IF(A1917="","",IF(AND(E1917&lt;&gt;"33 確認済",E1917&lt;&gt;"36 送付中"),1,0))</f>
        <v/>
      </c>
      <c r="AO1917" s="7" t="str">
        <f aca="false">IF(A1917="","",IF(AG1917&lt;&gt;"",1,0))</f>
        <v/>
      </c>
    </row>
    <row r="1918" customFormat="false" ht="15" hidden="false" customHeight="false" outlineLevel="0" collapsed="false">
      <c r="AL1918" s="7" t="str">
        <f aca="false">IF(A1918="","",IF(COUNTIF(A1918:A$2001,A1918)=1,1,0))</f>
        <v/>
      </c>
      <c r="AM1918" s="7" t="str">
        <f aca="true">IF(I1918="","",TODAY()-I1918)</f>
        <v/>
      </c>
      <c r="AN1918" s="7" t="str">
        <f aca="false">IF(A1918="","",IF(AND(E1918&lt;&gt;"33 確認済",E1918&lt;&gt;"36 送付中"),1,0))</f>
        <v/>
      </c>
      <c r="AO1918" s="7" t="str">
        <f aca="false">IF(A1918="","",IF(AG1918&lt;&gt;"",1,0))</f>
        <v/>
      </c>
    </row>
    <row r="1919" customFormat="false" ht="15" hidden="false" customHeight="false" outlineLevel="0" collapsed="false">
      <c r="AL1919" s="7" t="str">
        <f aca="false">IF(A1919="","",IF(COUNTIF(A1919:A$2001,A1919)=1,1,0))</f>
        <v/>
      </c>
      <c r="AM1919" s="7" t="str">
        <f aca="true">IF(I1919="","",TODAY()-I1919)</f>
        <v/>
      </c>
      <c r="AN1919" s="7" t="str">
        <f aca="false">IF(A1919="","",IF(AND(E1919&lt;&gt;"33 確認済",E1919&lt;&gt;"36 送付中"),1,0))</f>
        <v/>
      </c>
      <c r="AO1919" s="7" t="str">
        <f aca="false">IF(A1919="","",IF(AG1919&lt;&gt;"",1,0))</f>
        <v/>
      </c>
    </row>
    <row r="1920" customFormat="false" ht="15" hidden="false" customHeight="false" outlineLevel="0" collapsed="false">
      <c r="AL1920" s="7" t="str">
        <f aca="false">IF(A1920="","",IF(COUNTIF(A1920:A$2001,A1920)=1,1,0))</f>
        <v/>
      </c>
      <c r="AM1920" s="7" t="str">
        <f aca="true">IF(I1920="","",TODAY()-I1920)</f>
        <v/>
      </c>
      <c r="AN1920" s="7" t="str">
        <f aca="false">IF(A1920="","",IF(AND(E1920&lt;&gt;"33 確認済",E1920&lt;&gt;"36 送付中"),1,0))</f>
        <v/>
      </c>
      <c r="AO1920" s="7" t="str">
        <f aca="false">IF(A1920="","",IF(AG1920&lt;&gt;"",1,0))</f>
        <v/>
      </c>
    </row>
    <row r="1921" customFormat="false" ht="15" hidden="false" customHeight="false" outlineLevel="0" collapsed="false">
      <c r="AL1921" s="7" t="str">
        <f aca="false">IF(A1921="","",IF(COUNTIF(A1921:A$2001,A1921)=1,1,0))</f>
        <v/>
      </c>
      <c r="AM1921" s="7" t="str">
        <f aca="true">IF(I1921="","",TODAY()-I1921)</f>
        <v/>
      </c>
      <c r="AN1921" s="7" t="str">
        <f aca="false">IF(A1921="","",IF(AND(E1921&lt;&gt;"33 確認済",E1921&lt;&gt;"36 送付中"),1,0))</f>
        <v/>
      </c>
      <c r="AO1921" s="7" t="str">
        <f aca="false">IF(A1921="","",IF(AG1921&lt;&gt;"",1,0))</f>
        <v/>
      </c>
    </row>
    <row r="1922" customFormat="false" ht="15" hidden="false" customHeight="false" outlineLevel="0" collapsed="false">
      <c r="AL1922" s="7" t="str">
        <f aca="false">IF(A1922="","",IF(COUNTIF(A1922:A$2001,A1922)=1,1,0))</f>
        <v/>
      </c>
      <c r="AM1922" s="7" t="str">
        <f aca="true">IF(I1922="","",TODAY()-I1922)</f>
        <v/>
      </c>
      <c r="AN1922" s="7" t="str">
        <f aca="false">IF(A1922="","",IF(AND(E1922&lt;&gt;"33 確認済",E1922&lt;&gt;"36 送付中"),1,0))</f>
        <v/>
      </c>
      <c r="AO1922" s="7" t="str">
        <f aca="false">IF(A1922="","",IF(AG1922&lt;&gt;"",1,0))</f>
        <v/>
      </c>
    </row>
    <row r="1923" customFormat="false" ht="15" hidden="false" customHeight="false" outlineLevel="0" collapsed="false">
      <c r="AL1923" s="7" t="str">
        <f aca="false">IF(A1923="","",IF(COUNTIF(A1923:A$2001,A1923)=1,1,0))</f>
        <v/>
      </c>
      <c r="AM1923" s="7" t="str">
        <f aca="true">IF(I1923="","",TODAY()-I1923)</f>
        <v/>
      </c>
      <c r="AN1923" s="7" t="str">
        <f aca="false">IF(A1923="","",IF(AND(E1923&lt;&gt;"33 確認済",E1923&lt;&gt;"36 送付中"),1,0))</f>
        <v/>
      </c>
      <c r="AO1923" s="7" t="str">
        <f aca="false">IF(A1923="","",IF(AG1923&lt;&gt;"",1,0))</f>
        <v/>
      </c>
    </row>
    <row r="1924" customFormat="false" ht="15" hidden="false" customHeight="false" outlineLevel="0" collapsed="false">
      <c r="AL1924" s="7" t="str">
        <f aca="false">IF(A1924="","",IF(COUNTIF(A1924:A$2001,A1924)=1,1,0))</f>
        <v/>
      </c>
      <c r="AM1924" s="7" t="str">
        <f aca="true">IF(I1924="","",TODAY()-I1924)</f>
        <v/>
      </c>
      <c r="AN1924" s="7" t="str">
        <f aca="false">IF(A1924="","",IF(AND(E1924&lt;&gt;"33 確認済",E1924&lt;&gt;"36 送付中"),1,0))</f>
        <v/>
      </c>
      <c r="AO1924" s="7" t="str">
        <f aca="false">IF(A1924="","",IF(AG1924&lt;&gt;"",1,0))</f>
        <v/>
      </c>
    </row>
    <row r="1925" customFormat="false" ht="15" hidden="false" customHeight="false" outlineLevel="0" collapsed="false">
      <c r="AL1925" s="7" t="str">
        <f aca="false">IF(A1925="","",IF(COUNTIF(A1925:A$2001,A1925)=1,1,0))</f>
        <v/>
      </c>
      <c r="AM1925" s="7" t="str">
        <f aca="true">IF(I1925="","",TODAY()-I1925)</f>
        <v/>
      </c>
      <c r="AN1925" s="7" t="str">
        <f aca="false">IF(A1925="","",IF(AND(E1925&lt;&gt;"33 確認済",E1925&lt;&gt;"36 送付中"),1,0))</f>
        <v/>
      </c>
      <c r="AO1925" s="7" t="str">
        <f aca="false">IF(A1925="","",IF(AG1925&lt;&gt;"",1,0))</f>
        <v/>
      </c>
    </row>
    <row r="1926" customFormat="false" ht="15" hidden="false" customHeight="false" outlineLevel="0" collapsed="false">
      <c r="AL1926" s="7" t="str">
        <f aca="false">IF(A1926="","",IF(COUNTIF(A1926:A$2001,A1926)=1,1,0))</f>
        <v/>
      </c>
      <c r="AM1926" s="7" t="str">
        <f aca="true">IF(I1926="","",TODAY()-I1926)</f>
        <v/>
      </c>
      <c r="AN1926" s="7" t="str">
        <f aca="false">IF(A1926="","",IF(AND(E1926&lt;&gt;"33 確認済",E1926&lt;&gt;"36 送付中"),1,0))</f>
        <v/>
      </c>
      <c r="AO1926" s="7" t="str">
        <f aca="false">IF(A1926="","",IF(AG1926&lt;&gt;"",1,0))</f>
        <v/>
      </c>
    </row>
    <row r="1927" customFormat="false" ht="15" hidden="false" customHeight="false" outlineLevel="0" collapsed="false">
      <c r="AL1927" s="7" t="str">
        <f aca="false">IF(A1927="","",IF(COUNTIF(A1927:A$2001,A1927)=1,1,0))</f>
        <v/>
      </c>
      <c r="AM1927" s="7" t="str">
        <f aca="true">IF(I1927="","",TODAY()-I1927)</f>
        <v/>
      </c>
      <c r="AN1927" s="7" t="str">
        <f aca="false">IF(A1927="","",IF(AND(E1927&lt;&gt;"33 確認済",E1927&lt;&gt;"36 送付中"),1,0))</f>
        <v/>
      </c>
      <c r="AO1927" s="7" t="str">
        <f aca="false">IF(A1927="","",IF(AG1927&lt;&gt;"",1,0))</f>
        <v/>
      </c>
    </row>
    <row r="1928" customFormat="false" ht="15" hidden="false" customHeight="false" outlineLevel="0" collapsed="false">
      <c r="AL1928" s="7" t="str">
        <f aca="false">IF(A1928="","",IF(COUNTIF(A1928:A$2001,A1928)=1,1,0))</f>
        <v/>
      </c>
      <c r="AM1928" s="7" t="str">
        <f aca="true">IF(I1928="","",TODAY()-I1928)</f>
        <v/>
      </c>
      <c r="AN1928" s="7" t="str">
        <f aca="false">IF(A1928="","",IF(AND(E1928&lt;&gt;"33 確認済",E1928&lt;&gt;"36 送付中"),1,0))</f>
        <v/>
      </c>
      <c r="AO1928" s="7" t="str">
        <f aca="false">IF(A1928="","",IF(AG1928&lt;&gt;"",1,0))</f>
        <v/>
      </c>
    </row>
    <row r="1929" customFormat="false" ht="15" hidden="false" customHeight="false" outlineLevel="0" collapsed="false">
      <c r="AL1929" s="7" t="str">
        <f aca="false">IF(A1929="","",IF(COUNTIF(A1929:A$2001,A1929)=1,1,0))</f>
        <v/>
      </c>
      <c r="AM1929" s="7" t="str">
        <f aca="true">IF(I1929="","",TODAY()-I1929)</f>
        <v/>
      </c>
      <c r="AN1929" s="7" t="str">
        <f aca="false">IF(A1929="","",IF(AND(E1929&lt;&gt;"33 確認済",E1929&lt;&gt;"36 送付中"),1,0))</f>
        <v/>
      </c>
      <c r="AO1929" s="7" t="str">
        <f aca="false">IF(A1929="","",IF(AG1929&lt;&gt;"",1,0))</f>
        <v/>
      </c>
    </row>
    <row r="1930" customFormat="false" ht="15" hidden="false" customHeight="false" outlineLevel="0" collapsed="false">
      <c r="AL1930" s="7" t="str">
        <f aca="false">IF(A1930="","",IF(COUNTIF(A1930:A$2001,A1930)=1,1,0))</f>
        <v/>
      </c>
      <c r="AM1930" s="7" t="str">
        <f aca="true">IF(I1930="","",TODAY()-I1930)</f>
        <v/>
      </c>
      <c r="AN1930" s="7" t="str">
        <f aca="false">IF(A1930="","",IF(AND(E1930&lt;&gt;"33 確認済",E1930&lt;&gt;"36 送付中"),1,0))</f>
        <v/>
      </c>
      <c r="AO1930" s="7" t="str">
        <f aca="false">IF(A1930="","",IF(AG1930&lt;&gt;"",1,0))</f>
        <v/>
      </c>
    </row>
    <row r="1931" customFormat="false" ht="15" hidden="false" customHeight="false" outlineLevel="0" collapsed="false">
      <c r="AL1931" s="7" t="str">
        <f aca="false">IF(A1931="","",IF(COUNTIF(A1931:A$2001,A1931)=1,1,0))</f>
        <v/>
      </c>
      <c r="AM1931" s="7" t="str">
        <f aca="true">IF(I1931="","",TODAY()-I1931)</f>
        <v/>
      </c>
      <c r="AN1931" s="7" t="str">
        <f aca="false">IF(A1931="","",IF(AND(E1931&lt;&gt;"33 確認済",E1931&lt;&gt;"36 送付中"),1,0))</f>
        <v/>
      </c>
      <c r="AO1931" s="7" t="str">
        <f aca="false">IF(A1931="","",IF(AG1931&lt;&gt;"",1,0))</f>
        <v/>
      </c>
    </row>
    <row r="1932" customFormat="false" ht="15" hidden="false" customHeight="false" outlineLevel="0" collapsed="false">
      <c r="AL1932" s="7" t="str">
        <f aca="false">IF(A1932="","",IF(COUNTIF(A1932:A$2001,A1932)=1,1,0))</f>
        <v/>
      </c>
      <c r="AM1932" s="7" t="str">
        <f aca="true">IF(I1932="","",TODAY()-I1932)</f>
        <v/>
      </c>
      <c r="AN1932" s="7" t="str">
        <f aca="false">IF(A1932="","",IF(AND(E1932&lt;&gt;"33 確認済",E1932&lt;&gt;"36 送付中"),1,0))</f>
        <v/>
      </c>
      <c r="AO1932" s="7" t="str">
        <f aca="false">IF(A1932="","",IF(AG1932&lt;&gt;"",1,0))</f>
        <v/>
      </c>
    </row>
    <row r="1933" customFormat="false" ht="15" hidden="false" customHeight="false" outlineLevel="0" collapsed="false">
      <c r="AL1933" s="7" t="str">
        <f aca="false">IF(A1933="","",IF(COUNTIF(A1933:A$2001,A1933)=1,1,0))</f>
        <v/>
      </c>
      <c r="AM1933" s="7" t="str">
        <f aca="true">IF(I1933="","",TODAY()-I1933)</f>
        <v/>
      </c>
      <c r="AN1933" s="7" t="str">
        <f aca="false">IF(A1933="","",IF(AND(E1933&lt;&gt;"33 確認済",E1933&lt;&gt;"36 送付中"),1,0))</f>
        <v/>
      </c>
      <c r="AO1933" s="7" t="str">
        <f aca="false">IF(A1933="","",IF(AG1933&lt;&gt;"",1,0))</f>
        <v/>
      </c>
    </row>
    <row r="1934" customFormat="false" ht="15" hidden="false" customHeight="false" outlineLevel="0" collapsed="false">
      <c r="AL1934" s="7" t="str">
        <f aca="false">IF(A1934="","",IF(COUNTIF(A1934:A$2001,A1934)=1,1,0))</f>
        <v/>
      </c>
      <c r="AM1934" s="7" t="str">
        <f aca="true">IF(I1934="","",TODAY()-I1934)</f>
        <v/>
      </c>
      <c r="AN1934" s="7" t="str">
        <f aca="false">IF(A1934="","",IF(AND(E1934&lt;&gt;"33 確認済",E1934&lt;&gt;"36 送付中"),1,0))</f>
        <v/>
      </c>
      <c r="AO1934" s="7" t="str">
        <f aca="false">IF(A1934="","",IF(AG1934&lt;&gt;"",1,0))</f>
        <v/>
      </c>
    </row>
    <row r="1935" customFormat="false" ht="15" hidden="false" customHeight="false" outlineLevel="0" collapsed="false">
      <c r="AL1935" s="7" t="str">
        <f aca="false">IF(A1935="","",IF(COUNTIF(A1935:A$2001,A1935)=1,1,0))</f>
        <v/>
      </c>
      <c r="AM1935" s="7" t="str">
        <f aca="true">IF(I1935="","",TODAY()-I1935)</f>
        <v/>
      </c>
      <c r="AN1935" s="7" t="str">
        <f aca="false">IF(A1935="","",IF(AND(E1935&lt;&gt;"33 確認済",E1935&lt;&gt;"36 送付中"),1,0))</f>
        <v/>
      </c>
      <c r="AO1935" s="7" t="str">
        <f aca="false">IF(A1935="","",IF(AG1935&lt;&gt;"",1,0))</f>
        <v/>
      </c>
    </row>
    <row r="1936" customFormat="false" ht="15" hidden="false" customHeight="false" outlineLevel="0" collapsed="false">
      <c r="AL1936" s="7" t="str">
        <f aca="false">IF(A1936="","",IF(COUNTIF(A1936:A$2001,A1936)=1,1,0))</f>
        <v/>
      </c>
      <c r="AM1936" s="7" t="str">
        <f aca="true">IF(I1936="","",TODAY()-I1936)</f>
        <v/>
      </c>
      <c r="AN1936" s="7" t="str">
        <f aca="false">IF(A1936="","",IF(AND(E1936&lt;&gt;"33 確認済",E1936&lt;&gt;"36 送付中"),1,0))</f>
        <v/>
      </c>
      <c r="AO1936" s="7" t="str">
        <f aca="false">IF(A1936="","",IF(AG1936&lt;&gt;"",1,0))</f>
        <v/>
      </c>
    </row>
    <row r="1937" customFormat="false" ht="15" hidden="false" customHeight="false" outlineLevel="0" collapsed="false">
      <c r="AL1937" s="7" t="str">
        <f aca="false">IF(A1937="","",IF(COUNTIF(A1937:A$2001,A1937)=1,1,0))</f>
        <v/>
      </c>
      <c r="AM1937" s="7" t="str">
        <f aca="true">IF(I1937="","",TODAY()-I1937)</f>
        <v/>
      </c>
      <c r="AN1937" s="7" t="str">
        <f aca="false">IF(A1937="","",IF(AND(E1937&lt;&gt;"33 確認済",E1937&lt;&gt;"36 送付中"),1,0))</f>
        <v/>
      </c>
      <c r="AO1937" s="7" t="str">
        <f aca="false">IF(A1937="","",IF(AG1937&lt;&gt;"",1,0))</f>
        <v/>
      </c>
    </row>
    <row r="1938" customFormat="false" ht="15" hidden="false" customHeight="false" outlineLevel="0" collapsed="false">
      <c r="AL1938" s="7" t="str">
        <f aca="false">IF(A1938="","",IF(COUNTIF(A1938:A$2001,A1938)=1,1,0))</f>
        <v/>
      </c>
      <c r="AM1938" s="7" t="str">
        <f aca="true">IF(I1938="","",TODAY()-I1938)</f>
        <v/>
      </c>
      <c r="AN1938" s="7" t="str">
        <f aca="false">IF(A1938="","",IF(AND(E1938&lt;&gt;"33 確認済",E1938&lt;&gt;"36 送付中"),1,0))</f>
        <v/>
      </c>
      <c r="AO1938" s="7" t="str">
        <f aca="false">IF(A1938="","",IF(AG1938&lt;&gt;"",1,0))</f>
        <v/>
      </c>
    </row>
    <row r="1939" customFormat="false" ht="15" hidden="false" customHeight="false" outlineLevel="0" collapsed="false">
      <c r="AL1939" s="7" t="str">
        <f aca="false">IF(A1939="","",IF(COUNTIF(A1939:A$2001,A1939)=1,1,0))</f>
        <v/>
      </c>
      <c r="AM1939" s="7" t="str">
        <f aca="true">IF(I1939="","",TODAY()-I1939)</f>
        <v/>
      </c>
      <c r="AN1939" s="7" t="str">
        <f aca="false">IF(A1939="","",IF(AND(E1939&lt;&gt;"33 確認済",E1939&lt;&gt;"36 送付中"),1,0))</f>
        <v/>
      </c>
      <c r="AO1939" s="7" t="str">
        <f aca="false">IF(A1939="","",IF(AG1939&lt;&gt;"",1,0))</f>
        <v/>
      </c>
    </row>
    <row r="1940" customFormat="false" ht="15" hidden="false" customHeight="false" outlineLevel="0" collapsed="false">
      <c r="AL1940" s="7" t="str">
        <f aca="false">IF(A1940="","",IF(COUNTIF(A1940:A$2001,A1940)=1,1,0))</f>
        <v/>
      </c>
      <c r="AM1940" s="7" t="str">
        <f aca="true">IF(I1940="","",TODAY()-I1940)</f>
        <v/>
      </c>
      <c r="AN1940" s="7" t="str">
        <f aca="false">IF(A1940="","",IF(AND(E1940&lt;&gt;"33 確認済",E1940&lt;&gt;"36 送付中"),1,0))</f>
        <v/>
      </c>
      <c r="AO1940" s="7" t="str">
        <f aca="false">IF(A1940="","",IF(AG1940&lt;&gt;"",1,0))</f>
        <v/>
      </c>
    </row>
    <row r="1941" customFormat="false" ht="15" hidden="false" customHeight="false" outlineLevel="0" collapsed="false">
      <c r="AL1941" s="7" t="str">
        <f aca="false">IF(A1941="","",IF(COUNTIF(A1941:A$2001,A1941)=1,1,0))</f>
        <v/>
      </c>
      <c r="AM1941" s="7" t="str">
        <f aca="true">IF(I1941="","",TODAY()-I1941)</f>
        <v/>
      </c>
      <c r="AN1941" s="7" t="str">
        <f aca="false">IF(A1941="","",IF(AND(E1941&lt;&gt;"33 確認済",E1941&lt;&gt;"36 送付中"),1,0))</f>
        <v/>
      </c>
      <c r="AO1941" s="7" t="str">
        <f aca="false">IF(A1941="","",IF(AG1941&lt;&gt;"",1,0))</f>
        <v/>
      </c>
    </row>
    <row r="1942" customFormat="false" ht="15" hidden="false" customHeight="false" outlineLevel="0" collapsed="false">
      <c r="AL1942" s="7" t="str">
        <f aca="false">IF(A1942="","",IF(COUNTIF(A1942:A$2001,A1942)=1,1,0))</f>
        <v/>
      </c>
      <c r="AM1942" s="7" t="str">
        <f aca="true">IF(I1942="","",TODAY()-I1942)</f>
        <v/>
      </c>
      <c r="AN1942" s="7" t="str">
        <f aca="false">IF(A1942="","",IF(AND(E1942&lt;&gt;"33 確認済",E1942&lt;&gt;"36 送付中"),1,0))</f>
        <v/>
      </c>
      <c r="AO1942" s="7" t="str">
        <f aca="false">IF(A1942="","",IF(AG1942&lt;&gt;"",1,0))</f>
        <v/>
      </c>
    </row>
    <row r="1943" customFormat="false" ht="15" hidden="false" customHeight="false" outlineLevel="0" collapsed="false">
      <c r="AL1943" s="7" t="str">
        <f aca="false">IF(A1943="","",IF(COUNTIF(A1943:A$2001,A1943)=1,1,0))</f>
        <v/>
      </c>
      <c r="AM1943" s="7" t="str">
        <f aca="true">IF(I1943="","",TODAY()-I1943)</f>
        <v/>
      </c>
      <c r="AN1943" s="7" t="str">
        <f aca="false">IF(A1943="","",IF(AND(E1943&lt;&gt;"33 確認済",E1943&lt;&gt;"36 送付中"),1,0))</f>
        <v/>
      </c>
      <c r="AO1943" s="7" t="str">
        <f aca="false">IF(A1943="","",IF(AG1943&lt;&gt;"",1,0))</f>
        <v/>
      </c>
    </row>
    <row r="1944" customFormat="false" ht="15" hidden="false" customHeight="false" outlineLevel="0" collapsed="false">
      <c r="AL1944" s="7" t="str">
        <f aca="false">IF(A1944="","",IF(COUNTIF(A1944:A$2001,A1944)=1,1,0))</f>
        <v/>
      </c>
      <c r="AM1944" s="7" t="str">
        <f aca="true">IF(I1944="","",TODAY()-I1944)</f>
        <v/>
      </c>
      <c r="AN1944" s="7" t="str">
        <f aca="false">IF(A1944="","",IF(AND(E1944&lt;&gt;"33 確認済",E1944&lt;&gt;"36 送付中"),1,0))</f>
        <v/>
      </c>
      <c r="AO1944" s="7" t="str">
        <f aca="false">IF(A1944="","",IF(AG1944&lt;&gt;"",1,0))</f>
        <v/>
      </c>
    </row>
    <row r="1945" customFormat="false" ht="15" hidden="false" customHeight="false" outlineLevel="0" collapsed="false">
      <c r="AL1945" s="7" t="str">
        <f aca="false">IF(A1945="","",IF(COUNTIF(A1945:A$2001,A1945)=1,1,0))</f>
        <v/>
      </c>
      <c r="AM1945" s="7" t="str">
        <f aca="true">IF(I1945="","",TODAY()-I1945)</f>
        <v/>
      </c>
      <c r="AN1945" s="7" t="str">
        <f aca="false">IF(A1945="","",IF(AND(E1945&lt;&gt;"33 確認済",E1945&lt;&gt;"36 送付中"),1,0))</f>
        <v/>
      </c>
      <c r="AO1945" s="7" t="str">
        <f aca="false">IF(A1945="","",IF(AG1945&lt;&gt;"",1,0))</f>
        <v/>
      </c>
    </row>
    <row r="1946" customFormat="false" ht="15" hidden="false" customHeight="false" outlineLevel="0" collapsed="false">
      <c r="AL1946" s="7" t="str">
        <f aca="false">IF(A1946="","",IF(COUNTIF(A1946:A$2001,A1946)=1,1,0))</f>
        <v/>
      </c>
      <c r="AM1946" s="7" t="str">
        <f aca="true">IF(I1946="","",TODAY()-I1946)</f>
        <v/>
      </c>
      <c r="AN1946" s="7" t="str">
        <f aca="false">IF(A1946="","",IF(AND(E1946&lt;&gt;"33 確認済",E1946&lt;&gt;"36 送付中"),1,0))</f>
        <v/>
      </c>
      <c r="AO1946" s="7" t="str">
        <f aca="false">IF(A1946="","",IF(AG1946&lt;&gt;"",1,0))</f>
        <v/>
      </c>
    </row>
    <row r="1947" customFormat="false" ht="15" hidden="false" customHeight="false" outlineLevel="0" collapsed="false">
      <c r="AL1947" s="7" t="str">
        <f aca="false">IF(A1947="","",IF(COUNTIF(A1947:A$2001,A1947)=1,1,0))</f>
        <v/>
      </c>
      <c r="AM1947" s="7" t="str">
        <f aca="true">IF(I1947="","",TODAY()-I1947)</f>
        <v/>
      </c>
      <c r="AN1947" s="7" t="str">
        <f aca="false">IF(A1947="","",IF(AND(E1947&lt;&gt;"33 確認済",E1947&lt;&gt;"36 送付中"),1,0))</f>
        <v/>
      </c>
      <c r="AO1947" s="7" t="str">
        <f aca="false">IF(A1947="","",IF(AG1947&lt;&gt;"",1,0))</f>
        <v/>
      </c>
    </row>
    <row r="1948" customFormat="false" ht="15" hidden="false" customHeight="false" outlineLevel="0" collapsed="false">
      <c r="AL1948" s="7" t="str">
        <f aca="false">IF(A1948="","",IF(COUNTIF(A1948:A$2001,A1948)=1,1,0))</f>
        <v/>
      </c>
      <c r="AM1948" s="7" t="str">
        <f aca="true">IF(I1948="","",TODAY()-I1948)</f>
        <v/>
      </c>
      <c r="AN1948" s="7" t="str">
        <f aca="false">IF(A1948="","",IF(AND(E1948&lt;&gt;"33 確認済",E1948&lt;&gt;"36 送付中"),1,0))</f>
        <v/>
      </c>
      <c r="AO1948" s="7" t="str">
        <f aca="false">IF(A1948="","",IF(AG1948&lt;&gt;"",1,0))</f>
        <v/>
      </c>
    </row>
    <row r="1949" customFormat="false" ht="15" hidden="false" customHeight="false" outlineLevel="0" collapsed="false">
      <c r="AL1949" s="7" t="str">
        <f aca="false">IF(A1949="","",IF(COUNTIF(A1949:A$2001,A1949)=1,1,0))</f>
        <v/>
      </c>
      <c r="AM1949" s="7" t="str">
        <f aca="true">IF(I1949="","",TODAY()-I1949)</f>
        <v/>
      </c>
      <c r="AN1949" s="7" t="str">
        <f aca="false">IF(A1949="","",IF(AND(E1949&lt;&gt;"33 確認済",E1949&lt;&gt;"36 送付中"),1,0))</f>
        <v/>
      </c>
      <c r="AO1949" s="7" t="str">
        <f aca="false">IF(A1949="","",IF(AG1949&lt;&gt;"",1,0))</f>
        <v/>
      </c>
    </row>
    <row r="1950" customFormat="false" ht="15" hidden="false" customHeight="false" outlineLevel="0" collapsed="false">
      <c r="AL1950" s="7" t="str">
        <f aca="false">IF(A1950="","",IF(COUNTIF(A1950:A$2001,A1950)=1,1,0))</f>
        <v/>
      </c>
      <c r="AM1950" s="7" t="str">
        <f aca="true">IF(I1950="","",TODAY()-I1950)</f>
        <v/>
      </c>
      <c r="AN1950" s="7" t="str">
        <f aca="false">IF(A1950="","",IF(AND(E1950&lt;&gt;"33 確認済",E1950&lt;&gt;"36 送付中"),1,0))</f>
        <v/>
      </c>
      <c r="AO1950" s="7" t="str">
        <f aca="false">IF(A1950="","",IF(AG1950&lt;&gt;"",1,0))</f>
        <v/>
      </c>
    </row>
    <row r="1951" customFormat="false" ht="15" hidden="false" customHeight="false" outlineLevel="0" collapsed="false">
      <c r="AL1951" s="7" t="str">
        <f aca="false">IF(A1951="","",IF(COUNTIF(A1951:A$2001,A1951)=1,1,0))</f>
        <v/>
      </c>
      <c r="AM1951" s="7" t="str">
        <f aca="true">IF(I1951="","",TODAY()-I1951)</f>
        <v/>
      </c>
      <c r="AN1951" s="7" t="str">
        <f aca="false">IF(A1951="","",IF(AND(E1951&lt;&gt;"33 確認済",E1951&lt;&gt;"36 送付中"),1,0))</f>
        <v/>
      </c>
      <c r="AO1951" s="7" t="str">
        <f aca="false">IF(A1951="","",IF(AG1951&lt;&gt;"",1,0))</f>
        <v/>
      </c>
    </row>
    <row r="1952" customFormat="false" ht="15" hidden="false" customHeight="false" outlineLevel="0" collapsed="false">
      <c r="AL1952" s="7" t="str">
        <f aca="false">IF(A1952="","",IF(COUNTIF(A1952:A$2001,A1952)=1,1,0))</f>
        <v/>
      </c>
      <c r="AM1952" s="7" t="str">
        <f aca="true">IF(I1952="","",TODAY()-I1952)</f>
        <v/>
      </c>
      <c r="AN1952" s="7" t="str">
        <f aca="false">IF(A1952="","",IF(AND(E1952&lt;&gt;"33 確認済",E1952&lt;&gt;"36 送付中"),1,0))</f>
        <v/>
      </c>
      <c r="AO1952" s="7" t="str">
        <f aca="false">IF(A1952="","",IF(AG1952&lt;&gt;"",1,0))</f>
        <v/>
      </c>
    </row>
    <row r="1953" customFormat="false" ht="15" hidden="false" customHeight="false" outlineLevel="0" collapsed="false">
      <c r="AL1953" s="7" t="str">
        <f aca="false">IF(A1953="","",IF(COUNTIF(A1953:A$2001,A1953)=1,1,0))</f>
        <v/>
      </c>
      <c r="AM1953" s="7" t="str">
        <f aca="true">IF(I1953="","",TODAY()-I1953)</f>
        <v/>
      </c>
      <c r="AN1953" s="7" t="str">
        <f aca="false">IF(A1953="","",IF(AND(E1953&lt;&gt;"33 確認済",E1953&lt;&gt;"36 送付中"),1,0))</f>
        <v/>
      </c>
      <c r="AO1953" s="7" t="str">
        <f aca="false">IF(A1953="","",IF(AG1953&lt;&gt;"",1,0))</f>
        <v/>
      </c>
    </row>
    <row r="1954" customFormat="false" ht="15" hidden="false" customHeight="false" outlineLevel="0" collapsed="false">
      <c r="AL1954" s="7" t="str">
        <f aca="false">IF(A1954="","",IF(COUNTIF(A1954:A$2001,A1954)=1,1,0))</f>
        <v/>
      </c>
      <c r="AM1954" s="7" t="str">
        <f aca="true">IF(I1954="","",TODAY()-I1954)</f>
        <v/>
      </c>
      <c r="AN1954" s="7" t="str">
        <f aca="false">IF(A1954="","",IF(AND(E1954&lt;&gt;"33 確認済",E1954&lt;&gt;"36 送付中"),1,0))</f>
        <v/>
      </c>
      <c r="AO1954" s="7" t="str">
        <f aca="false">IF(A1954="","",IF(AG1954&lt;&gt;"",1,0))</f>
        <v/>
      </c>
    </row>
    <row r="1955" customFormat="false" ht="15" hidden="false" customHeight="false" outlineLevel="0" collapsed="false">
      <c r="AL1955" s="7" t="str">
        <f aca="false">IF(A1955="","",IF(COUNTIF(A1955:A$2001,A1955)=1,1,0))</f>
        <v/>
      </c>
      <c r="AM1955" s="7" t="str">
        <f aca="true">IF(I1955="","",TODAY()-I1955)</f>
        <v/>
      </c>
      <c r="AN1955" s="7" t="str">
        <f aca="false">IF(A1955="","",IF(AND(E1955&lt;&gt;"33 確認済",E1955&lt;&gt;"36 送付中"),1,0))</f>
        <v/>
      </c>
      <c r="AO1955" s="7" t="str">
        <f aca="false">IF(A1955="","",IF(AG1955&lt;&gt;"",1,0))</f>
        <v/>
      </c>
    </row>
    <row r="1956" customFormat="false" ht="15" hidden="false" customHeight="false" outlineLevel="0" collapsed="false">
      <c r="AL1956" s="7" t="str">
        <f aca="false">IF(A1956="","",IF(COUNTIF(A1956:A$2001,A1956)=1,1,0))</f>
        <v/>
      </c>
      <c r="AM1956" s="7" t="str">
        <f aca="true">IF(I1956="","",TODAY()-I1956)</f>
        <v/>
      </c>
      <c r="AN1956" s="7" t="str">
        <f aca="false">IF(A1956="","",IF(AND(E1956&lt;&gt;"33 確認済",E1956&lt;&gt;"36 送付中"),1,0))</f>
        <v/>
      </c>
      <c r="AO1956" s="7" t="str">
        <f aca="false">IF(A1956="","",IF(AG1956&lt;&gt;"",1,0))</f>
        <v/>
      </c>
    </row>
    <row r="1957" customFormat="false" ht="15" hidden="false" customHeight="false" outlineLevel="0" collapsed="false">
      <c r="AL1957" s="7" t="str">
        <f aca="false">IF(A1957="","",IF(COUNTIF(A1957:A$2001,A1957)=1,1,0))</f>
        <v/>
      </c>
      <c r="AM1957" s="7" t="str">
        <f aca="true">IF(I1957="","",TODAY()-I1957)</f>
        <v/>
      </c>
      <c r="AN1957" s="7" t="str">
        <f aca="false">IF(A1957="","",IF(AND(E1957&lt;&gt;"33 確認済",E1957&lt;&gt;"36 送付中"),1,0))</f>
        <v/>
      </c>
      <c r="AO1957" s="7" t="str">
        <f aca="false">IF(A1957="","",IF(AG1957&lt;&gt;"",1,0))</f>
        <v/>
      </c>
    </row>
    <row r="1958" customFormat="false" ht="15" hidden="false" customHeight="false" outlineLevel="0" collapsed="false">
      <c r="AL1958" s="7" t="str">
        <f aca="false">IF(A1958="","",IF(COUNTIF(A1958:A$2001,A1958)=1,1,0))</f>
        <v/>
      </c>
      <c r="AM1958" s="7" t="str">
        <f aca="true">IF(I1958="","",TODAY()-I1958)</f>
        <v/>
      </c>
      <c r="AN1958" s="7" t="str">
        <f aca="false">IF(A1958="","",IF(AND(E1958&lt;&gt;"33 確認済",E1958&lt;&gt;"36 送付中"),1,0))</f>
        <v/>
      </c>
      <c r="AO1958" s="7" t="str">
        <f aca="false">IF(A1958="","",IF(AG1958&lt;&gt;"",1,0))</f>
        <v/>
      </c>
    </row>
    <row r="1959" customFormat="false" ht="15" hidden="false" customHeight="false" outlineLevel="0" collapsed="false">
      <c r="AL1959" s="7" t="str">
        <f aca="false">IF(A1959="","",IF(COUNTIF(A1959:A$2001,A1959)=1,1,0))</f>
        <v/>
      </c>
      <c r="AM1959" s="7" t="str">
        <f aca="true">IF(I1959="","",TODAY()-I1959)</f>
        <v/>
      </c>
      <c r="AN1959" s="7" t="str">
        <f aca="false">IF(A1959="","",IF(AND(E1959&lt;&gt;"33 確認済",E1959&lt;&gt;"36 送付中"),1,0))</f>
        <v/>
      </c>
      <c r="AO1959" s="7" t="str">
        <f aca="false">IF(A1959="","",IF(AG1959&lt;&gt;"",1,0))</f>
        <v/>
      </c>
    </row>
    <row r="1960" customFormat="false" ht="15" hidden="false" customHeight="false" outlineLevel="0" collapsed="false">
      <c r="AL1960" s="7" t="str">
        <f aca="false">IF(A1960="","",IF(COUNTIF(A1960:A$2001,A1960)=1,1,0))</f>
        <v/>
      </c>
      <c r="AM1960" s="7" t="str">
        <f aca="true">IF(I1960="","",TODAY()-I1960)</f>
        <v/>
      </c>
      <c r="AN1960" s="7" t="str">
        <f aca="false">IF(A1960="","",IF(AND(E1960&lt;&gt;"33 確認済",E1960&lt;&gt;"36 送付中"),1,0))</f>
        <v/>
      </c>
      <c r="AO1960" s="7" t="str">
        <f aca="false">IF(A1960="","",IF(AG1960&lt;&gt;"",1,0))</f>
        <v/>
      </c>
    </row>
    <row r="1961" customFormat="false" ht="15" hidden="false" customHeight="false" outlineLevel="0" collapsed="false">
      <c r="AL1961" s="7" t="str">
        <f aca="false">IF(A1961="","",IF(COUNTIF(A1961:A$2001,A1961)=1,1,0))</f>
        <v/>
      </c>
      <c r="AM1961" s="7" t="str">
        <f aca="true">IF(I1961="","",TODAY()-I1961)</f>
        <v/>
      </c>
      <c r="AN1961" s="7" t="str">
        <f aca="false">IF(A1961="","",IF(AND(E1961&lt;&gt;"33 確認済",E1961&lt;&gt;"36 送付中"),1,0))</f>
        <v/>
      </c>
      <c r="AO1961" s="7" t="str">
        <f aca="false">IF(A1961="","",IF(AG1961&lt;&gt;"",1,0))</f>
        <v/>
      </c>
    </row>
    <row r="1962" customFormat="false" ht="15" hidden="false" customHeight="false" outlineLevel="0" collapsed="false">
      <c r="AL1962" s="7" t="str">
        <f aca="false">IF(A1962="","",IF(COUNTIF(A1962:A$2001,A1962)=1,1,0))</f>
        <v/>
      </c>
      <c r="AM1962" s="7" t="str">
        <f aca="true">IF(I1962="","",TODAY()-I1962)</f>
        <v/>
      </c>
      <c r="AN1962" s="7" t="str">
        <f aca="false">IF(A1962="","",IF(AND(E1962&lt;&gt;"33 確認済",E1962&lt;&gt;"36 送付中"),1,0))</f>
        <v/>
      </c>
      <c r="AO1962" s="7" t="str">
        <f aca="false">IF(A1962="","",IF(AG1962&lt;&gt;"",1,0))</f>
        <v/>
      </c>
    </row>
    <row r="1963" customFormat="false" ht="15" hidden="false" customHeight="false" outlineLevel="0" collapsed="false">
      <c r="AL1963" s="7" t="str">
        <f aca="false">IF(A1963="","",IF(COUNTIF(A1963:A$2001,A1963)=1,1,0))</f>
        <v/>
      </c>
      <c r="AM1963" s="7" t="str">
        <f aca="true">IF(I1963="","",TODAY()-I1963)</f>
        <v/>
      </c>
      <c r="AN1963" s="7" t="str">
        <f aca="false">IF(A1963="","",IF(AND(E1963&lt;&gt;"33 確認済",E1963&lt;&gt;"36 送付中"),1,0))</f>
        <v/>
      </c>
      <c r="AO1963" s="7" t="str">
        <f aca="false">IF(A1963="","",IF(AG1963&lt;&gt;"",1,0))</f>
        <v/>
      </c>
    </row>
    <row r="1964" customFormat="false" ht="15" hidden="false" customHeight="false" outlineLevel="0" collapsed="false">
      <c r="AL1964" s="7" t="str">
        <f aca="false">IF(A1964="","",IF(COUNTIF(A1964:A$2001,A1964)=1,1,0))</f>
        <v/>
      </c>
      <c r="AM1964" s="7" t="str">
        <f aca="true">IF(I1964="","",TODAY()-I1964)</f>
        <v/>
      </c>
      <c r="AN1964" s="7" t="str">
        <f aca="false">IF(A1964="","",IF(AND(E1964&lt;&gt;"33 確認済",E1964&lt;&gt;"36 送付中"),1,0))</f>
        <v/>
      </c>
      <c r="AO1964" s="7" t="str">
        <f aca="false">IF(A1964="","",IF(AG1964&lt;&gt;"",1,0))</f>
        <v/>
      </c>
    </row>
    <row r="1965" customFormat="false" ht="15" hidden="false" customHeight="false" outlineLevel="0" collapsed="false">
      <c r="AL1965" s="7" t="str">
        <f aca="false">IF(A1965="","",IF(COUNTIF(A1965:A$2001,A1965)=1,1,0))</f>
        <v/>
      </c>
      <c r="AM1965" s="7" t="str">
        <f aca="true">IF(I1965="","",TODAY()-I1965)</f>
        <v/>
      </c>
      <c r="AN1965" s="7" t="str">
        <f aca="false">IF(A1965="","",IF(AND(E1965&lt;&gt;"33 確認済",E1965&lt;&gt;"36 送付中"),1,0))</f>
        <v/>
      </c>
      <c r="AO1965" s="7" t="str">
        <f aca="false">IF(A1965="","",IF(AG1965&lt;&gt;"",1,0))</f>
        <v/>
      </c>
    </row>
    <row r="1966" customFormat="false" ht="15" hidden="false" customHeight="false" outlineLevel="0" collapsed="false">
      <c r="AL1966" s="7" t="str">
        <f aca="false">IF(A1966="","",IF(COUNTIF(A1966:A$2001,A1966)=1,1,0))</f>
        <v/>
      </c>
      <c r="AM1966" s="7" t="str">
        <f aca="true">IF(I1966="","",TODAY()-I1966)</f>
        <v/>
      </c>
      <c r="AN1966" s="7" t="str">
        <f aca="false">IF(A1966="","",IF(AND(E1966&lt;&gt;"33 確認済",E1966&lt;&gt;"36 送付中"),1,0))</f>
        <v/>
      </c>
      <c r="AO1966" s="7" t="str">
        <f aca="false">IF(A1966="","",IF(AG1966&lt;&gt;"",1,0))</f>
        <v/>
      </c>
    </row>
    <row r="1967" customFormat="false" ht="15" hidden="false" customHeight="false" outlineLevel="0" collapsed="false">
      <c r="AL1967" s="7" t="str">
        <f aca="false">IF(A1967="","",IF(COUNTIF(A1967:A$2001,A1967)=1,1,0))</f>
        <v/>
      </c>
      <c r="AM1967" s="7" t="str">
        <f aca="true">IF(I1967="","",TODAY()-I1967)</f>
        <v/>
      </c>
      <c r="AN1967" s="7" t="str">
        <f aca="false">IF(A1967="","",IF(AND(E1967&lt;&gt;"33 確認済",E1967&lt;&gt;"36 送付中"),1,0))</f>
        <v/>
      </c>
      <c r="AO1967" s="7" t="str">
        <f aca="false">IF(A1967="","",IF(AG1967&lt;&gt;"",1,0))</f>
        <v/>
      </c>
    </row>
    <row r="1968" customFormat="false" ht="15" hidden="false" customHeight="false" outlineLevel="0" collapsed="false">
      <c r="AL1968" s="7" t="str">
        <f aca="false">IF(A1968="","",IF(COUNTIF(A1968:A$2001,A1968)=1,1,0))</f>
        <v/>
      </c>
      <c r="AM1968" s="7" t="str">
        <f aca="true">IF(I1968="","",TODAY()-I1968)</f>
        <v/>
      </c>
      <c r="AN1968" s="7" t="str">
        <f aca="false">IF(A1968="","",IF(AND(E1968&lt;&gt;"33 確認済",E1968&lt;&gt;"36 送付中"),1,0))</f>
        <v/>
      </c>
      <c r="AO1968" s="7" t="str">
        <f aca="false">IF(A1968="","",IF(AG1968&lt;&gt;"",1,0))</f>
        <v/>
      </c>
    </row>
    <row r="1969" customFormat="false" ht="15" hidden="false" customHeight="false" outlineLevel="0" collapsed="false">
      <c r="AL1969" s="7" t="str">
        <f aca="false">IF(A1969="","",IF(COUNTIF(A1969:A$2001,A1969)=1,1,0))</f>
        <v/>
      </c>
      <c r="AM1969" s="7" t="str">
        <f aca="true">IF(I1969="","",TODAY()-I1969)</f>
        <v/>
      </c>
      <c r="AN1969" s="7" t="str">
        <f aca="false">IF(A1969="","",IF(AND(E1969&lt;&gt;"33 確認済",E1969&lt;&gt;"36 送付中"),1,0))</f>
        <v/>
      </c>
      <c r="AO1969" s="7" t="str">
        <f aca="false">IF(A1969="","",IF(AG1969&lt;&gt;"",1,0))</f>
        <v/>
      </c>
    </row>
    <row r="1970" customFormat="false" ht="15" hidden="false" customHeight="false" outlineLevel="0" collapsed="false">
      <c r="AL1970" s="7" t="str">
        <f aca="false">IF(A1970="","",IF(COUNTIF(A1970:A$2001,A1970)=1,1,0))</f>
        <v/>
      </c>
      <c r="AM1970" s="7" t="str">
        <f aca="true">IF(I1970="","",TODAY()-I1970)</f>
        <v/>
      </c>
      <c r="AN1970" s="7" t="str">
        <f aca="false">IF(A1970="","",IF(AND(E1970&lt;&gt;"33 確認済",E1970&lt;&gt;"36 送付中"),1,0))</f>
        <v/>
      </c>
      <c r="AO1970" s="7" t="str">
        <f aca="false">IF(A1970="","",IF(AG1970&lt;&gt;"",1,0))</f>
        <v/>
      </c>
    </row>
    <row r="1971" customFormat="false" ht="15" hidden="false" customHeight="false" outlineLevel="0" collapsed="false">
      <c r="AL1971" s="7" t="str">
        <f aca="false">IF(A1971="","",IF(COUNTIF(A1971:A$2001,A1971)=1,1,0))</f>
        <v/>
      </c>
      <c r="AM1971" s="7" t="str">
        <f aca="true">IF(I1971="","",TODAY()-I1971)</f>
        <v/>
      </c>
      <c r="AN1971" s="7" t="str">
        <f aca="false">IF(A1971="","",IF(AND(E1971&lt;&gt;"33 確認済",E1971&lt;&gt;"36 送付中"),1,0))</f>
        <v/>
      </c>
      <c r="AO1971" s="7" t="str">
        <f aca="false">IF(A1971="","",IF(AG1971&lt;&gt;"",1,0))</f>
        <v/>
      </c>
    </row>
    <row r="1972" customFormat="false" ht="15" hidden="false" customHeight="false" outlineLevel="0" collapsed="false">
      <c r="AL1972" s="7" t="str">
        <f aca="false">IF(A1972="","",IF(COUNTIF(A1972:A$2001,A1972)=1,1,0))</f>
        <v/>
      </c>
      <c r="AM1972" s="7" t="str">
        <f aca="true">IF(I1972="","",TODAY()-I1972)</f>
        <v/>
      </c>
      <c r="AN1972" s="7" t="str">
        <f aca="false">IF(A1972="","",IF(AND(E1972&lt;&gt;"33 確認済",E1972&lt;&gt;"36 送付中"),1,0))</f>
        <v/>
      </c>
      <c r="AO1972" s="7" t="str">
        <f aca="false">IF(A1972="","",IF(AG1972&lt;&gt;"",1,0))</f>
        <v/>
      </c>
    </row>
    <row r="1973" customFormat="false" ht="15" hidden="false" customHeight="false" outlineLevel="0" collapsed="false">
      <c r="AL1973" s="7" t="str">
        <f aca="false">IF(A1973="","",IF(COUNTIF(A1973:A$2001,A1973)=1,1,0))</f>
        <v/>
      </c>
      <c r="AM1973" s="7" t="str">
        <f aca="true">IF(I1973="","",TODAY()-I1973)</f>
        <v/>
      </c>
      <c r="AN1973" s="7" t="str">
        <f aca="false">IF(A1973="","",IF(AND(E1973&lt;&gt;"33 確認済",E1973&lt;&gt;"36 送付中"),1,0))</f>
        <v/>
      </c>
      <c r="AO1973" s="7" t="str">
        <f aca="false">IF(A1973="","",IF(AG1973&lt;&gt;"",1,0))</f>
        <v/>
      </c>
    </row>
    <row r="1974" customFormat="false" ht="15" hidden="false" customHeight="false" outlineLevel="0" collapsed="false">
      <c r="AL1974" s="7" t="str">
        <f aca="false">IF(A1974="","",IF(COUNTIF(A1974:A$2001,A1974)=1,1,0))</f>
        <v/>
      </c>
      <c r="AM1974" s="7" t="str">
        <f aca="true">IF(I1974="","",TODAY()-I1974)</f>
        <v/>
      </c>
      <c r="AN1974" s="7" t="str">
        <f aca="false">IF(A1974="","",IF(AND(E1974&lt;&gt;"33 確認済",E1974&lt;&gt;"36 送付中"),1,0))</f>
        <v/>
      </c>
      <c r="AO1974" s="7" t="str">
        <f aca="false">IF(A1974="","",IF(AG1974&lt;&gt;"",1,0))</f>
        <v/>
      </c>
    </row>
    <row r="1975" customFormat="false" ht="15" hidden="false" customHeight="false" outlineLevel="0" collapsed="false">
      <c r="AL1975" s="7" t="str">
        <f aca="false">IF(A1975="","",IF(COUNTIF(A1975:A$2001,A1975)=1,1,0))</f>
        <v/>
      </c>
      <c r="AM1975" s="7" t="str">
        <f aca="true">IF(I1975="","",TODAY()-I1975)</f>
        <v/>
      </c>
      <c r="AN1975" s="7" t="str">
        <f aca="false">IF(A1975="","",IF(AND(E1975&lt;&gt;"33 確認済",E1975&lt;&gt;"36 送付中"),1,0))</f>
        <v/>
      </c>
      <c r="AO1975" s="7" t="str">
        <f aca="false">IF(A1975="","",IF(AG1975&lt;&gt;"",1,0))</f>
        <v/>
      </c>
    </row>
    <row r="1976" customFormat="false" ht="15" hidden="false" customHeight="false" outlineLevel="0" collapsed="false">
      <c r="AL1976" s="7" t="str">
        <f aca="false">IF(A1976="","",IF(COUNTIF(A1976:A$2001,A1976)=1,1,0))</f>
        <v/>
      </c>
      <c r="AM1976" s="7" t="str">
        <f aca="true">IF(I1976="","",TODAY()-I1976)</f>
        <v/>
      </c>
      <c r="AN1976" s="7" t="str">
        <f aca="false">IF(A1976="","",IF(AND(E1976&lt;&gt;"33 確認済",E1976&lt;&gt;"36 送付中"),1,0))</f>
        <v/>
      </c>
      <c r="AO1976" s="7" t="str">
        <f aca="false">IF(A1976="","",IF(AG1976&lt;&gt;"",1,0))</f>
        <v/>
      </c>
    </row>
    <row r="1977" customFormat="false" ht="15" hidden="false" customHeight="false" outlineLevel="0" collapsed="false">
      <c r="AL1977" s="7" t="str">
        <f aca="false">IF(A1977="","",IF(COUNTIF(A1977:A$2001,A1977)=1,1,0))</f>
        <v/>
      </c>
      <c r="AM1977" s="7" t="str">
        <f aca="true">IF(I1977="","",TODAY()-I1977)</f>
        <v/>
      </c>
      <c r="AN1977" s="7" t="str">
        <f aca="false">IF(A1977="","",IF(AND(E1977&lt;&gt;"33 確認済",E1977&lt;&gt;"36 送付中"),1,0))</f>
        <v/>
      </c>
      <c r="AO1977" s="7" t="str">
        <f aca="false">IF(A1977="","",IF(AG1977&lt;&gt;"",1,0))</f>
        <v/>
      </c>
    </row>
    <row r="1978" customFormat="false" ht="15" hidden="false" customHeight="false" outlineLevel="0" collapsed="false">
      <c r="AL1978" s="7" t="str">
        <f aca="false">IF(A1978="","",IF(COUNTIF(A1978:A$2001,A1978)=1,1,0))</f>
        <v/>
      </c>
      <c r="AM1978" s="7" t="str">
        <f aca="true">IF(I1978="","",TODAY()-I1978)</f>
        <v/>
      </c>
      <c r="AN1978" s="7" t="str">
        <f aca="false">IF(A1978="","",IF(AND(E1978&lt;&gt;"33 確認済",E1978&lt;&gt;"36 送付中"),1,0))</f>
        <v/>
      </c>
      <c r="AO1978" s="7" t="str">
        <f aca="false">IF(A1978="","",IF(AG1978&lt;&gt;"",1,0))</f>
        <v/>
      </c>
    </row>
    <row r="1979" customFormat="false" ht="15" hidden="false" customHeight="false" outlineLevel="0" collapsed="false">
      <c r="AL1979" s="7" t="str">
        <f aca="false">IF(A1979="","",IF(COUNTIF(A1979:A$2001,A1979)=1,1,0))</f>
        <v/>
      </c>
      <c r="AM1979" s="7" t="str">
        <f aca="true">IF(I1979="","",TODAY()-I1979)</f>
        <v/>
      </c>
      <c r="AN1979" s="7" t="str">
        <f aca="false">IF(A1979="","",IF(AND(E1979&lt;&gt;"33 確認済",E1979&lt;&gt;"36 送付中"),1,0))</f>
        <v/>
      </c>
      <c r="AO1979" s="7" t="str">
        <f aca="false">IF(A1979="","",IF(AG1979&lt;&gt;"",1,0))</f>
        <v/>
      </c>
    </row>
    <row r="1980" customFormat="false" ht="15" hidden="false" customHeight="false" outlineLevel="0" collapsed="false">
      <c r="AL1980" s="7" t="str">
        <f aca="false">IF(A1980="","",IF(COUNTIF(A1980:A$2001,A1980)=1,1,0))</f>
        <v/>
      </c>
      <c r="AM1980" s="7" t="str">
        <f aca="true">IF(I1980="","",TODAY()-I1980)</f>
        <v/>
      </c>
      <c r="AN1980" s="7" t="str">
        <f aca="false">IF(A1980="","",IF(AND(E1980&lt;&gt;"33 確認済",E1980&lt;&gt;"36 送付中"),1,0))</f>
        <v/>
      </c>
      <c r="AO1980" s="7" t="str">
        <f aca="false">IF(A1980="","",IF(AG1980&lt;&gt;"",1,0))</f>
        <v/>
      </c>
    </row>
    <row r="1981" customFormat="false" ht="15" hidden="false" customHeight="false" outlineLevel="0" collapsed="false">
      <c r="AL1981" s="7" t="str">
        <f aca="false">IF(A1981="","",IF(COUNTIF(A1981:A$2001,A1981)=1,1,0))</f>
        <v/>
      </c>
      <c r="AM1981" s="7" t="str">
        <f aca="true">IF(I1981="","",TODAY()-I1981)</f>
        <v/>
      </c>
      <c r="AN1981" s="7" t="str">
        <f aca="false">IF(A1981="","",IF(AND(E1981&lt;&gt;"33 確認済",E1981&lt;&gt;"36 送付中"),1,0))</f>
        <v/>
      </c>
      <c r="AO1981" s="7" t="str">
        <f aca="false">IF(A1981="","",IF(AG1981&lt;&gt;"",1,0))</f>
        <v/>
      </c>
    </row>
    <row r="1982" customFormat="false" ht="15" hidden="false" customHeight="false" outlineLevel="0" collapsed="false">
      <c r="AL1982" s="7" t="str">
        <f aca="false">IF(A1982="","",IF(COUNTIF(A1982:A$2001,A1982)=1,1,0))</f>
        <v/>
      </c>
      <c r="AM1982" s="7" t="str">
        <f aca="true">IF(I1982="","",TODAY()-I1982)</f>
        <v/>
      </c>
      <c r="AN1982" s="7" t="str">
        <f aca="false">IF(A1982="","",IF(AND(E1982&lt;&gt;"33 確認済",E1982&lt;&gt;"36 送付中"),1,0))</f>
        <v/>
      </c>
      <c r="AO1982" s="7" t="str">
        <f aca="false">IF(A1982="","",IF(AG1982&lt;&gt;"",1,0))</f>
        <v/>
      </c>
    </row>
    <row r="1983" customFormat="false" ht="15" hidden="false" customHeight="false" outlineLevel="0" collapsed="false">
      <c r="AL1983" s="7" t="str">
        <f aca="false">IF(A1983="","",IF(COUNTIF(A1983:A$2001,A1983)=1,1,0))</f>
        <v/>
      </c>
      <c r="AM1983" s="7" t="str">
        <f aca="true">IF(I1983="","",TODAY()-I1983)</f>
        <v/>
      </c>
      <c r="AN1983" s="7" t="str">
        <f aca="false">IF(A1983="","",IF(AND(E1983&lt;&gt;"33 確認済",E1983&lt;&gt;"36 送付中"),1,0))</f>
        <v/>
      </c>
      <c r="AO1983" s="7" t="str">
        <f aca="false">IF(A1983="","",IF(AG1983&lt;&gt;"",1,0))</f>
        <v/>
      </c>
    </row>
    <row r="1984" customFormat="false" ht="15" hidden="false" customHeight="false" outlineLevel="0" collapsed="false">
      <c r="AL1984" s="7" t="str">
        <f aca="false">IF(A1984="","",IF(COUNTIF(A1984:A$2001,A1984)=1,1,0))</f>
        <v/>
      </c>
      <c r="AM1984" s="7" t="str">
        <f aca="true">IF(I1984="","",TODAY()-I1984)</f>
        <v/>
      </c>
      <c r="AN1984" s="7" t="str">
        <f aca="false">IF(A1984="","",IF(AND(E1984&lt;&gt;"33 確認済",E1984&lt;&gt;"36 送付中"),1,0))</f>
        <v/>
      </c>
      <c r="AO1984" s="7" t="str">
        <f aca="false">IF(A1984="","",IF(AG1984&lt;&gt;"",1,0))</f>
        <v/>
      </c>
    </row>
    <row r="1985" customFormat="false" ht="15" hidden="false" customHeight="false" outlineLevel="0" collapsed="false">
      <c r="AL1985" s="7" t="str">
        <f aca="false">IF(A1985="","",IF(COUNTIF(A1985:A$2001,A1985)=1,1,0))</f>
        <v/>
      </c>
      <c r="AM1985" s="7" t="str">
        <f aca="true">IF(I1985="","",TODAY()-I1985)</f>
        <v/>
      </c>
      <c r="AN1985" s="7" t="str">
        <f aca="false">IF(A1985="","",IF(AND(E1985&lt;&gt;"33 確認済",E1985&lt;&gt;"36 送付中"),1,0))</f>
        <v/>
      </c>
      <c r="AO1985" s="7" t="str">
        <f aca="false">IF(A1985="","",IF(AG1985&lt;&gt;"",1,0))</f>
        <v/>
      </c>
    </row>
    <row r="1986" customFormat="false" ht="15" hidden="false" customHeight="false" outlineLevel="0" collapsed="false">
      <c r="AL1986" s="7" t="str">
        <f aca="false">IF(A1986="","",IF(COUNTIF(A1986:A$2001,A1986)=1,1,0))</f>
        <v/>
      </c>
      <c r="AM1986" s="7" t="str">
        <f aca="true">IF(I1986="","",TODAY()-I1986)</f>
        <v/>
      </c>
      <c r="AN1986" s="7" t="str">
        <f aca="false">IF(A1986="","",IF(AND(E1986&lt;&gt;"33 確認済",E1986&lt;&gt;"36 送付中"),1,0))</f>
        <v/>
      </c>
      <c r="AO1986" s="7" t="str">
        <f aca="false">IF(A1986="","",IF(AG1986&lt;&gt;"",1,0))</f>
        <v/>
      </c>
    </row>
    <row r="1987" customFormat="false" ht="15" hidden="false" customHeight="false" outlineLevel="0" collapsed="false">
      <c r="AL1987" s="7" t="str">
        <f aca="false">IF(A1987="","",IF(COUNTIF(A1987:A$2001,A1987)=1,1,0))</f>
        <v/>
      </c>
      <c r="AM1987" s="7" t="str">
        <f aca="true">IF(I1987="","",TODAY()-I1987)</f>
        <v/>
      </c>
      <c r="AN1987" s="7" t="str">
        <f aca="false">IF(A1987="","",IF(AND(E1987&lt;&gt;"33 確認済",E1987&lt;&gt;"36 送付中"),1,0))</f>
        <v/>
      </c>
      <c r="AO1987" s="7" t="str">
        <f aca="false">IF(A1987="","",IF(AG1987&lt;&gt;"",1,0))</f>
        <v/>
      </c>
    </row>
    <row r="1988" customFormat="false" ht="15" hidden="false" customHeight="false" outlineLevel="0" collapsed="false">
      <c r="AL1988" s="7" t="str">
        <f aca="false">IF(A1988="","",IF(COUNTIF(A1988:A$2001,A1988)=1,1,0))</f>
        <v/>
      </c>
      <c r="AM1988" s="7" t="str">
        <f aca="true">IF(I1988="","",TODAY()-I1988)</f>
        <v/>
      </c>
      <c r="AN1988" s="7" t="str">
        <f aca="false">IF(A1988="","",IF(AND(E1988&lt;&gt;"33 確認済",E1988&lt;&gt;"36 送付中"),1,0))</f>
        <v/>
      </c>
      <c r="AO1988" s="7" t="str">
        <f aca="false">IF(A1988="","",IF(AG1988&lt;&gt;"",1,0))</f>
        <v/>
      </c>
    </row>
    <row r="1989" customFormat="false" ht="15" hidden="false" customHeight="false" outlineLevel="0" collapsed="false">
      <c r="AL1989" s="7" t="str">
        <f aca="false">IF(A1989="","",IF(COUNTIF(A1989:A$2001,A1989)=1,1,0))</f>
        <v/>
      </c>
      <c r="AM1989" s="7" t="str">
        <f aca="true">IF(I1989="","",TODAY()-I1989)</f>
        <v/>
      </c>
      <c r="AN1989" s="7" t="str">
        <f aca="false">IF(A1989="","",IF(AND(E1989&lt;&gt;"33 確認済",E1989&lt;&gt;"36 送付中"),1,0))</f>
        <v/>
      </c>
      <c r="AO1989" s="7" t="str">
        <f aca="false">IF(A1989="","",IF(AG1989&lt;&gt;"",1,0))</f>
        <v/>
      </c>
    </row>
    <row r="1990" customFormat="false" ht="15" hidden="false" customHeight="false" outlineLevel="0" collapsed="false">
      <c r="AL1990" s="7" t="str">
        <f aca="false">IF(A1990="","",IF(COUNTIF(A1990:A$2001,A1990)=1,1,0))</f>
        <v/>
      </c>
      <c r="AM1990" s="7" t="str">
        <f aca="true">IF(I1990="","",TODAY()-I1990)</f>
        <v/>
      </c>
      <c r="AN1990" s="7" t="str">
        <f aca="false">IF(A1990="","",IF(AND(E1990&lt;&gt;"33 確認済",E1990&lt;&gt;"36 送付中"),1,0))</f>
        <v/>
      </c>
      <c r="AO1990" s="7" t="str">
        <f aca="false">IF(A1990="","",IF(AG1990&lt;&gt;"",1,0))</f>
        <v/>
      </c>
    </row>
    <row r="1991" customFormat="false" ht="15" hidden="false" customHeight="false" outlineLevel="0" collapsed="false">
      <c r="AL1991" s="7" t="str">
        <f aca="false">IF(A1991="","",IF(COUNTIF(A1991:A$2001,A1991)=1,1,0))</f>
        <v/>
      </c>
      <c r="AM1991" s="7" t="str">
        <f aca="true">IF(I1991="","",TODAY()-I1991)</f>
        <v/>
      </c>
      <c r="AN1991" s="7" t="str">
        <f aca="false">IF(A1991="","",IF(AND(E1991&lt;&gt;"33 確認済",E1991&lt;&gt;"36 送付中"),1,0))</f>
        <v/>
      </c>
      <c r="AO1991" s="7" t="str">
        <f aca="false">IF(A1991="","",IF(AG1991&lt;&gt;"",1,0))</f>
        <v/>
      </c>
    </row>
    <row r="1992" customFormat="false" ht="15" hidden="false" customHeight="false" outlineLevel="0" collapsed="false">
      <c r="AL1992" s="7" t="str">
        <f aca="false">IF(A1992="","",IF(COUNTIF(A1992:A$2001,A1992)=1,1,0))</f>
        <v/>
      </c>
      <c r="AM1992" s="7" t="str">
        <f aca="true">IF(I1992="","",TODAY()-I1992)</f>
        <v/>
      </c>
      <c r="AN1992" s="7" t="str">
        <f aca="false">IF(A1992="","",IF(AND(E1992&lt;&gt;"33 確認済",E1992&lt;&gt;"36 送付中"),1,0))</f>
        <v/>
      </c>
      <c r="AO1992" s="7" t="str">
        <f aca="false">IF(A1992="","",IF(AG1992&lt;&gt;"",1,0))</f>
        <v/>
      </c>
    </row>
    <row r="1993" customFormat="false" ht="15" hidden="false" customHeight="false" outlineLevel="0" collapsed="false">
      <c r="AL1993" s="7" t="str">
        <f aca="false">IF(A1993="","",IF(COUNTIF(A1993:A$2001,A1993)=1,1,0))</f>
        <v/>
      </c>
      <c r="AM1993" s="7" t="str">
        <f aca="true">IF(I1993="","",TODAY()-I1993)</f>
        <v/>
      </c>
      <c r="AN1993" s="7" t="str">
        <f aca="false">IF(A1993="","",IF(AND(E1993&lt;&gt;"33 確認済",E1993&lt;&gt;"36 送付中"),1,0))</f>
        <v/>
      </c>
      <c r="AO1993" s="7" t="str">
        <f aca="false">IF(A1993="","",IF(AG1993&lt;&gt;"",1,0))</f>
        <v/>
      </c>
    </row>
    <row r="1994" customFormat="false" ht="15" hidden="false" customHeight="false" outlineLevel="0" collapsed="false">
      <c r="AL1994" s="7" t="str">
        <f aca="false">IF(A1994="","",IF(COUNTIF(A1994:A$2001,A1994)=1,1,0))</f>
        <v/>
      </c>
      <c r="AM1994" s="7" t="str">
        <f aca="true">IF(I1994="","",TODAY()-I1994)</f>
        <v/>
      </c>
      <c r="AN1994" s="7" t="str">
        <f aca="false">IF(A1994="","",IF(AND(E1994&lt;&gt;"33 確認済",E1994&lt;&gt;"36 送付中"),1,0))</f>
        <v/>
      </c>
      <c r="AO1994" s="7" t="str">
        <f aca="false">IF(A1994="","",IF(AG1994&lt;&gt;"",1,0))</f>
        <v/>
      </c>
    </row>
    <row r="1995" customFormat="false" ht="15" hidden="false" customHeight="false" outlineLevel="0" collapsed="false">
      <c r="AL1995" s="7" t="str">
        <f aca="false">IF(A1995="","",IF(COUNTIF(A1995:A$2001,A1995)=1,1,0))</f>
        <v/>
      </c>
      <c r="AM1995" s="7" t="str">
        <f aca="true">IF(I1995="","",TODAY()-I1995)</f>
        <v/>
      </c>
      <c r="AN1995" s="7" t="str">
        <f aca="false">IF(A1995="","",IF(AND(E1995&lt;&gt;"33 確認済",E1995&lt;&gt;"36 送付中"),1,0))</f>
        <v/>
      </c>
      <c r="AO1995" s="7" t="str">
        <f aca="false">IF(A1995="","",IF(AG1995&lt;&gt;"",1,0))</f>
        <v/>
      </c>
    </row>
    <row r="1996" customFormat="false" ht="15" hidden="false" customHeight="false" outlineLevel="0" collapsed="false">
      <c r="AL1996" s="7" t="str">
        <f aca="false">IF(A1996="","",IF(COUNTIF(A1996:A$2001,A1996)=1,1,0))</f>
        <v/>
      </c>
      <c r="AM1996" s="7" t="str">
        <f aca="true">IF(I1996="","",TODAY()-I1996)</f>
        <v/>
      </c>
      <c r="AN1996" s="7" t="str">
        <f aca="false">IF(A1996="","",IF(AND(E1996&lt;&gt;"33 確認済",E1996&lt;&gt;"36 送付中"),1,0))</f>
        <v/>
      </c>
      <c r="AO1996" s="7" t="str">
        <f aca="false">IF(A1996="","",IF(AG1996&lt;&gt;"",1,0))</f>
        <v/>
      </c>
    </row>
    <row r="1997" customFormat="false" ht="15" hidden="false" customHeight="false" outlineLevel="0" collapsed="false">
      <c r="AL1997" s="7" t="str">
        <f aca="false">IF(A1997="","",IF(COUNTIF(A1997:A$2001,A1997)=1,1,0))</f>
        <v/>
      </c>
      <c r="AM1997" s="7" t="str">
        <f aca="true">IF(I1997="","",TODAY()-I1997)</f>
        <v/>
      </c>
      <c r="AN1997" s="7" t="str">
        <f aca="false">IF(A1997="","",IF(AND(E1997&lt;&gt;"33 確認済",E1997&lt;&gt;"36 送付中"),1,0))</f>
        <v/>
      </c>
      <c r="AO1997" s="7" t="str">
        <f aca="false">IF(A1997="","",IF(AG1997&lt;&gt;"",1,0))</f>
        <v/>
      </c>
    </row>
    <row r="1998" customFormat="false" ht="15" hidden="false" customHeight="false" outlineLevel="0" collapsed="false">
      <c r="AL1998" s="7" t="str">
        <f aca="false">IF(A1998="","",IF(COUNTIF(A1998:A$2001,A1998)=1,1,0))</f>
        <v/>
      </c>
      <c r="AM1998" s="7" t="str">
        <f aca="true">IF(I1998="","",TODAY()-I1998)</f>
        <v/>
      </c>
      <c r="AN1998" s="7" t="str">
        <f aca="false">IF(A1998="","",IF(AND(E1998&lt;&gt;"33 確認済",E1998&lt;&gt;"36 送付中"),1,0))</f>
        <v/>
      </c>
      <c r="AO1998" s="7" t="str">
        <f aca="false">IF(A1998="","",IF(AG1998&lt;&gt;"",1,0))</f>
        <v/>
      </c>
    </row>
    <row r="1999" customFormat="false" ht="15" hidden="false" customHeight="false" outlineLevel="0" collapsed="false">
      <c r="AL1999" s="7" t="str">
        <f aca="false">IF(A1999="","",IF(COUNTIF(A1999:A$2001,A1999)=1,1,0))</f>
        <v/>
      </c>
      <c r="AM1999" s="7" t="str">
        <f aca="true">IF(I1999="","",TODAY()-I1999)</f>
        <v/>
      </c>
      <c r="AN1999" s="7" t="str">
        <f aca="false">IF(A1999="","",IF(AND(E1999&lt;&gt;"33 確認済",E1999&lt;&gt;"36 送付中"),1,0))</f>
        <v/>
      </c>
      <c r="AO1999" s="7" t="str">
        <f aca="false">IF(A1999="","",IF(AG1999&lt;&gt;"",1,0))</f>
        <v/>
      </c>
    </row>
    <row r="2000" customFormat="false" ht="15" hidden="false" customHeight="false" outlineLevel="0" collapsed="false">
      <c r="AL2000" s="7" t="str">
        <f aca="false">IF(A2000="","",IF(COUNTIF(A2000:A$2001,A2000)=1,1,0))</f>
        <v/>
      </c>
      <c r="AM2000" s="7" t="str">
        <f aca="true">IF(I2000="","",TODAY()-I2000)</f>
        <v/>
      </c>
      <c r="AN2000" s="7" t="str">
        <f aca="false">IF(A2000="","",IF(AND(E2000&lt;&gt;"33 確認済",E2000&lt;&gt;"36 送付中"),1,0))</f>
        <v/>
      </c>
      <c r="AO2000" s="7" t="str">
        <f aca="false">IF(A2000="","",IF(AG2000&lt;&gt;"",1,0))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.51"/>
    <col collapsed="false" customWidth="true" hidden="false" outlineLevel="0" max="2" min="2" style="0" width="24"/>
    <col collapsed="false" customWidth="true" hidden="false" outlineLevel="0" max="4" min="3" style="0" width="8"/>
    <col collapsed="false" customWidth="true" hidden="false" outlineLevel="0" max="5" min="5" style="0" width="16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28"/>
    <col collapsed="false" customWidth="true" hidden="false" outlineLevel="0" max="9" min="9" style="0" width="16"/>
    <col collapsed="false" customWidth="true" hidden="false" outlineLevel="0" max="10" min="10" style="0" width="28"/>
    <col collapsed="false" customWidth="true" hidden="false" outlineLevel="0" max="11" min="11" style="0" width="16"/>
    <col collapsed="false" customWidth="true" hidden="false" outlineLevel="0" max="12" min="12" style="0" width="28"/>
    <col collapsed="false" customWidth="true" hidden="false" outlineLevel="0" max="13" min="13" style="0" width="16"/>
    <col collapsed="false" customWidth="true" hidden="false" outlineLevel="0" max="14" min="14" style="0" width="28"/>
    <col collapsed="false" customWidth="true" hidden="false" outlineLevel="0" max="15" min="15" style="0" width="1.51"/>
  </cols>
  <sheetData>
    <row r="1" customFormat="false" ht="6" hidden="false" customHeight="true" outlineLevel="0" collapsed="false"/>
    <row r="2" customFormat="false" ht="36" hidden="false" customHeight="true" outlineLevel="0" collapsed="false">
      <c r="A2" s="8"/>
      <c r="B2" s="9" t="s">
        <v>101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 t="n">
        <f aca="true">TODAY()</f>
        <v>46290</v>
      </c>
      <c r="O2" s="10"/>
    </row>
    <row r="3" customFormat="false" ht="7.5" hidden="false" customHeight="true" outlineLevel="0" collapsed="false"/>
    <row r="4" customFormat="false" ht="13.5" hidden="false" customHeight="true" outlineLevel="0" collapsed="false">
      <c r="B4" s="11" t="s">
        <v>102</v>
      </c>
    </row>
    <row r="5" customFormat="false" ht="15.75" hidden="false" customHeight="true" outlineLevel="0" collapsed="false">
      <c r="B5" s="12" t="s">
        <v>103</v>
      </c>
      <c r="C5" s="13" t="s">
        <v>104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customFormat="false" ht="15.75" hidden="false" customHeight="true" outlineLevel="0" collapsed="false">
      <c r="B6" s="12" t="s">
        <v>105</v>
      </c>
      <c r="C6" s="13" t="s">
        <v>106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customFormat="false" ht="15.75" hidden="false" customHeight="true" outlineLevel="0" collapsed="false">
      <c r="B7" s="12" t="s">
        <v>107</v>
      </c>
      <c r="C7" s="13" t="s">
        <v>108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customFormat="false" ht="15.75" hidden="false" customHeight="true" outlineLevel="0" collapsed="false">
      <c r="B8" s="14" t="s">
        <v>109</v>
      </c>
      <c r="C8" s="15" t="s">
        <v>110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customFormat="false" ht="27.75" hidden="false" customHeight="true" outlineLevel="0" collapsed="false">
      <c r="B9" s="16" t="s">
        <v>111</v>
      </c>
      <c r="C9" s="16"/>
      <c r="D9" s="16"/>
      <c r="E9" s="16"/>
    </row>
    <row r="10" customFormat="false" ht="9.75" hidden="false" customHeight="true" outlineLevel="0" collapsed="false"/>
    <row r="11" customFormat="false" ht="19.5" hidden="false" customHeight="true" outlineLevel="0" collapsed="false">
      <c r="B11" s="17" t="s">
        <v>112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customFormat="false" ht="18" hidden="false" customHeight="true" outlineLevel="0" collapsed="false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customFormat="false" ht="18" hidden="false" customHeight="true" outlineLevel="0" collapsed="false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customFormat="false" ht="18" hidden="false" customHeight="true" outlineLevel="0" collapsed="false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customFormat="false" ht="18" hidden="false" customHeight="true" outlineLevel="0" collapsed="false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customFormat="false" ht="18" hidden="false" customHeight="true" outlineLevel="0" collapsed="false"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  <row r="17" customFormat="false" ht="18" hidden="false" customHeight="true" outlineLevel="0" collapsed="false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</row>
    <row r="18" customFormat="false" ht="9.75" hidden="false" customHeight="true" outlineLevel="0" collapsed="false"/>
    <row r="19" customFormat="false" ht="13.5" hidden="false" customHeight="true" outlineLevel="0" collapsed="false">
      <c r="B19" s="11" t="s">
        <v>113</v>
      </c>
    </row>
    <row r="20" customFormat="false" ht="13.5" hidden="false" customHeight="true" outlineLevel="0" collapsed="false">
      <c r="B20" s="19" t="s">
        <v>114</v>
      </c>
      <c r="C20" s="19"/>
      <c r="D20" s="19"/>
      <c r="E20" s="19"/>
      <c r="F20" s="19" t="s">
        <v>115</v>
      </c>
      <c r="G20" s="19"/>
      <c r="H20" s="19"/>
      <c r="I20" s="19"/>
      <c r="J20" s="19" t="s">
        <v>116</v>
      </c>
      <c r="K20" s="19"/>
      <c r="L20" s="19"/>
      <c r="M20" s="19"/>
    </row>
    <row r="21" customFormat="false" ht="43.5" hidden="false" customHeight="true" outlineLevel="0" collapsed="false">
      <c r="B21" s="20" t="n">
        <f aca="false">SUMPRODUCT((元データ!$AL$2:$AL$2001=1)*(元データ!$AN$2:$AN$2001=1))</f>
        <v>307</v>
      </c>
      <c r="C21" s="20"/>
      <c r="D21" s="20"/>
      <c r="E21" s="20"/>
      <c r="F21" s="21" t="n">
        <f aca="false">SUMPRODUCT((元データ!$AL$2:$AL$2001=1)*(元データ!$AN$2:$AN$2001=1))-SUMPRODUCT((元データ!$AL$2:$AL$2001=1)*(元データ!$AN$2:$AN$2001=1)*(元データ!$E$2:$E$2001="40 差戻し"))</f>
        <v>256</v>
      </c>
      <c r="G21" s="21"/>
      <c r="H21" s="21"/>
      <c r="I21" s="21"/>
      <c r="J21" s="22" t="n">
        <f aca="false">SUMPRODUCT((元データ!$AL$2:$AL$2001=1)*(元データ!$AN$2:$AN$2001=1)*(元データ!$E$2:$E$2001="40 差戻し"))</f>
        <v>51</v>
      </c>
      <c r="K21" s="22"/>
      <c r="L21" s="22"/>
      <c r="M21" s="22"/>
    </row>
    <row r="22" customFormat="false" ht="9.75" hidden="false" customHeight="true" outlineLevel="0" collapsed="false"/>
    <row r="23" customFormat="false" ht="13.5" hidden="false" customHeight="true" outlineLevel="0" collapsed="false">
      <c r="B23" s="11" t="s">
        <v>117</v>
      </c>
    </row>
    <row r="24" customFormat="false" ht="27.75" hidden="false" customHeight="true" outlineLevel="0" collapsed="false">
      <c r="B24" s="23" t="s">
        <v>118</v>
      </c>
      <c r="C24" s="23" t="s">
        <v>119</v>
      </c>
      <c r="D24" s="23" t="s">
        <v>120</v>
      </c>
      <c r="E24" s="23" t="s">
        <v>121</v>
      </c>
      <c r="F24" s="23" t="s">
        <v>122</v>
      </c>
      <c r="G24" s="23" t="s">
        <v>123</v>
      </c>
      <c r="H24" s="23" t="s">
        <v>124</v>
      </c>
    </row>
    <row r="25" customFormat="false" ht="21.75" hidden="false" customHeight="true" outlineLevel="0" collapsed="false">
      <c r="B25" s="24" t="s">
        <v>125</v>
      </c>
      <c r="C25" s="25" t="n">
        <f aca="false">SUMPRODUCT((元データ!$AL$2:$AL$2001=1)*(元データ!$AN$2:$AN$2001=1)*(元データ!$E$2:$E$2001="20 確認待ち"))</f>
        <v>77</v>
      </c>
      <c r="D25" s="26" t="n">
        <f aca="false">SUMPRODUCT((元データ!$AL$2:$AL$2001=1)*(元データ!$AN$2:$AN$2001=1)*(元データ!$E$2:$E$2001="20 確認待ち")*(元データ!$AM$2:$AM$2001&lt;=7))</f>
        <v>42</v>
      </c>
      <c r="E25" s="26" t="n">
        <f aca="false">SUMPRODUCT((元データ!$AL$2:$AL$2001=1)*(元データ!$AN$2:$AN$2001=1)*(元データ!$E$2:$E$2001="20 確認待ち")*(元データ!$AM$2:$AM$2001&gt;=8)*(元データ!$AM$2:$AM$2001&lt;=14))</f>
        <v>11</v>
      </c>
      <c r="F25" s="27" t="n">
        <f aca="false">SUMPRODUCT((元データ!$AL$2:$AL$2001=1)*(元データ!$AN$2:$AN$2001=1)*(元データ!$E$2:$E$2001="20 確認待ち")*(元データ!$AM$2:$AM$2001&gt;=15)*(元データ!$AM$2:$AM$2001&lt;=21))</f>
        <v>3</v>
      </c>
      <c r="G25" s="27" t="n">
        <f aca="false">SUMPRODUCT((元データ!$AL$2:$AL$2001=1)*(元データ!$AN$2:$AN$2001=1)*(元データ!$E$2:$E$2001="20 確認待ち")*(元データ!$AM$2:$AM$2001&gt;=22)*(元データ!$AM$2:$AM$2001&lt;=30))</f>
        <v>4</v>
      </c>
      <c r="H25" s="28" t="n">
        <f aca="false">SUMPRODUCT((元データ!$AL$2:$AL$2001=1)*(元データ!$AN$2:$AN$2001=1)*(元データ!$E$2:$E$2001="20 確認待ち")*(元データ!$AM$2:$AM$2001&gt;=31))</f>
        <v>17</v>
      </c>
    </row>
    <row r="26" customFormat="false" ht="21.75" hidden="false" customHeight="true" outlineLevel="0" collapsed="false">
      <c r="B26" s="29" t="s">
        <v>126</v>
      </c>
      <c r="C26" s="30" t="n">
        <f aca="false">SUMPRODUCT((元データ!$AL$2:$AL$2001=1)*(元データ!$AN$2:$AN$2001=1)*(元データ!$E$2:$E$2001="30 申請受付"))</f>
        <v>59</v>
      </c>
      <c r="D26" s="31" t="n">
        <f aca="false">SUMPRODUCT((元データ!$AL$2:$AL$2001=1)*(元データ!$AN$2:$AN$2001=1)*(元データ!$E$2:$E$2001="30 申請受付")*(元データ!$AM$2:$AM$2001&lt;=7))</f>
        <v>27</v>
      </c>
      <c r="E26" s="31" t="n">
        <f aca="false">SUMPRODUCT((元データ!$AL$2:$AL$2001=1)*(元データ!$AN$2:$AN$2001=1)*(元データ!$E$2:$E$2001="30 申請受付")*(元データ!$AM$2:$AM$2001&gt;=8)*(元データ!$AM$2:$AM$2001&lt;=14))</f>
        <v>24</v>
      </c>
      <c r="F26" s="27" t="n">
        <f aca="false">SUMPRODUCT((元データ!$AL$2:$AL$2001=1)*(元データ!$AN$2:$AN$2001=1)*(元データ!$E$2:$E$2001="30 申請受付")*(元データ!$AM$2:$AM$2001&gt;=15)*(元データ!$AM$2:$AM$2001&lt;=21))</f>
        <v>2</v>
      </c>
      <c r="G26" s="27" t="n">
        <f aca="false">SUMPRODUCT((元データ!$AL$2:$AL$2001=1)*(元データ!$AN$2:$AN$2001=1)*(元データ!$E$2:$E$2001="30 申請受付")*(元データ!$AM$2:$AM$2001&gt;=22)*(元データ!$AM$2:$AM$2001&lt;=30))</f>
        <v>2</v>
      </c>
      <c r="H26" s="28" t="n">
        <f aca="false">SUMPRODUCT((元データ!$AL$2:$AL$2001=1)*(元データ!$AN$2:$AN$2001=1)*(元データ!$E$2:$E$2001="30 申請受付")*(元データ!$AM$2:$AM$2001&gt;=31))</f>
        <v>4</v>
      </c>
    </row>
    <row r="27" customFormat="false" ht="21.75" hidden="false" customHeight="true" outlineLevel="0" collapsed="false">
      <c r="B27" s="32" t="s">
        <v>127</v>
      </c>
      <c r="C27" s="25" t="n">
        <f aca="false">SUMPRODUCT((元データ!$AL$2:$AL$2001=1)*(元データ!$AN$2:$AN$2001=1)*(元データ!$E$2:$E$2001="31 ＯＰ確認中"))</f>
        <v>77</v>
      </c>
      <c r="D27" s="26" t="n">
        <f aca="false">SUMPRODUCT((元データ!$AL$2:$AL$2001=1)*(元データ!$AN$2:$AN$2001=1)*(元データ!$E$2:$E$2001="31 ＯＰ確認中")*(元データ!$AM$2:$AM$2001&lt;=7))</f>
        <v>1</v>
      </c>
      <c r="E27" s="26" t="n">
        <f aca="false">SUMPRODUCT((元データ!$AL$2:$AL$2001=1)*(元データ!$AN$2:$AN$2001=1)*(元データ!$E$2:$E$2001="31 ＯＰ確認中")*(元データ!$AM$2:$AM$2001&gt;=8)*(元データ!$AM$2:$AM$2001&lt;=14))</f>
        <v>31</v>
      </c>
      <c r="F27" s="27" t="n">
        <f aca="false">SUMPRODUCT((元データ!$AL$2:$AL$2001=1)*(元データ!$AN$2:$AN$2001=1)*(元データ!$E$2:$E$2001="31 ＯＰ確認中")*(元データ!$AM$2:$AM$2001&gt;=15)*(元データ!$AM$2:$AM$2001&lt;=21))</f>
        <v>4</v>
      </c>
      <c r="G27" s="27" t="n">
        <f aca="false">SUMPRODUCT((元データ!$AL$2:$AL$2001=1)*(元データ!$AN$2:$AN$2001=1)*(元データ!$E$2:$E$2001="31 ＯＰ確認中")*(元データ!$AM$2:$AM$2001&gt;=22)*(元データ!$AM$2:$AM$2001&lt;=30))</f>
        <v>1</v>
      </c>
      <c r="H27" s="28" t="n">
        <f aca="false">SUMPRODUCT((元データ!$AL$2:$AL$2001=1)*(元データ!$AN$2:$AN$2001=1)*(元データ!$E$2:$E$2001="31 ＯＰ確認中")*(元データ!$AM$2:$AM$2001&gt;=31))</f>
        <v>40</v>
      </c>
    </row>
    <row r="28" customFormat="false" ht="21.75" hidden="false" customHeight="true" outlineLevel="0" collapsed="false">
      <c r="B28" s="33" t="s">
        <v>128</v>
      </c>
      <c r="C28" s="30" t="n">
        <f aca="false">SUMPRODUCT((元データ!$AL$2:$AL$2001=1)*(元データ!$AN$2:$AN$2001=1)*(元データ!$E$2:$E$2001="32 ＳＶ確認中"))</f>
        <v>43</v>
      </c>
      <c r="D28" s="31" t="n">
        <f aca="false">SUMPRODUCT((元データ!$AL$2:$AL$2001=1)*(元データ!$AN$2:$AN$2001=1)*(元データ!$E$2:$E$2001="32 ＳＶ確認中")*(元データ!$AM$2:$AM$2001&lt;=7))</f>
        <v>0</v>
      </c>
      <c r="E28" s="31" t="n">
        <f aca="false">SUMPRODUCT((元データ!$AL$2:$AL$2001=1)*(元データ!$AN$2:$AN$2001=1)*(元データ!$E$2:$E$2001="32 ＳＶ確認中")*(元データ!$AM$2:$AM$2001&gt;=8)*(元データ!$AM$2:$AM$2001&lt;=14))</f>
        <v>11</v>
      </c>
      <c r="F28" s="27" t="n">
        <f aca="false">SUMPRODUCT((元データ!$AL$2:$AL$2001=1)*(元データ!$AN$2:$AN$2001=1)*(元データ!$E$2:$E$2001="32 ＳＶ確認中")*(元データ!$AM$2:$AM$2001&gt;=15)*(元データ!$AM$2:$AM$2001&lt;=21))</f>
        <v>11</v>
      </c>
      <c r="G28" s="27" t="n">
        <f aca="false">SUMPRODUCT((元データ!$AL$2:$AL$2001=1)*(元データ!$AN$2:$AN$2001=1)*(元データ!$E$2:$E$2001="32 ＳＶ確認中")*(元データ!$AM$2:$AM$2001&gt;=22)*(元データ!$AM$2:$AM$2001&lt;=30))</f>
        <v>4</v>
      </c>
      <c r="H28" s="28" t="n">
        <f aca="false">SUMPRODUCT((元データ!$AL$2:$AL$2001=1)*(元データ!$AN$2:$AN$2001=1)*(元データ!$E$2:$E$2001="32 ＳＶ確認中")*(元データ!$AM$2:$AM$2001&gt;=31))</f>
        <v>17</v>
      </c>
    </row>
    <row r="29" customFormat="false" ht="21.75" hidden="false" customHeight="true" outlineLevel="0" collapsed="false">
      <c r="B29" s="34" t="s">
        <v>129</v>
      </c>
      <c r="C29" s="35" t="n">
        <f aca="false">SUMPRODUCT((元データ!$AL$2:$AL$2001=1)*(元データ!$AN$2:$AN$2001=1)*(元データ!$E$2:$E$2001="40 差戻し"))</f>
        <v>51</v>
      </c>
      <c r="D29" s="36" t="n">
        <f aca="false">SUMPRODUCT((元データ!$AL$2:$AL$2001=1)*(元データ!$AN$2:$AN$2001=1)*(元データ!$E$2:$E$2001="40 差戻し")*(元データ!$AM$2:$AM$2001&lt;=7))</f>
        <v>0</v>
      </c>
      <c r="E29" s="36" t="n">
        <f aca="false">SUMPRODUCT((元データ!$AL$2:$AL$2001=1)*(元データ!$AN$2:$AN$2001=1)*(元データ!$E$2:$E$2001="40 差戻し")*(元データ!$AM$2:$AM$2001&gt;=8)*(元データ!$AM$2:$AM$2001&lt;=14))</f>
        <v>2</v>
      </c>
      <c r="F29" s="27" t="n">
        <f aca="false">SUMPRODUCT((元データ!$AL$2:$AL$2001=1)*(元データ!$AN$2:$AN$2001=1)*(元データ!$E$2:$E$2001="40 差戻し")*(元データ!$AM$2:$AM$2001&gt;=15)*(元データ!$AM$2:$AM$2001&lt;=21))</f>
        <v>2</v>
      </c>
      <c r="G29" s="27" t="n">
        <f aca="false">SUMPRODUCT((元データ!$AL$2:$AL$2001=1)*(元データ!$AN$2:$AN$2001=1)*(元データ!$E$2:$E$2001="40 差戻し")*(元データ!$AM$2:$AM$2001&gt;=22)*(元データ!$AM$2:$AM$2001&lt;=30))</f>
        <v>7</v>
      </c>
      <c r="H29" s="28" t="n">
        <f aca="false">SUMPRODUCT((元データ!$AL$2:$AL$2001=1)*(元データ!$AN$2:$AN$2001=1)*(元データ!$E$2:$E$2001="40 差戻し")*(元データ!$AM$2:$AM$2001&gt;=31))</f>
        <v>40</v>
      </c>
    </row>
    <row r="30" customFormat="false" ht="21.75" hidden="false" customHeight="true" outlineLevel="0" collapsed="false">
      <c r="B30" s="37" t="s">
        <v>130</v>
      </c>
      <c r="C30" s="38" t="n">
        <f aca="false">SUMPRODUCT((元データ!$AL$2:$AL$2001=1)*(元データ!$AN$2:$AN$2001=1))</f>
        <v>307</v>
      </c>
      <c r="D30" s="37" t="n">
        <f aca="false">SUMPRODUCT((元データ!$AL$2:$AL$2001=1)*(元データ!$AN$2:$AN$2001=1)*(元データ!$AM$2:$AM$2001&lt;=7))</f>
        <v>70</v>
      </c>
      <c r="E30" s="37" t="n">
        <f aca="false">SUMPRODUCT((元データ!$AL$2:$AL$2001=1)*(元データ!$AN$2:$AN$2001=1)*(元データ!$AM$2:$AM$2001&gt;=8)*(元データ!$AM$2:$AM$2001&lt;=14))</f>
        <v>79</v>
      </c>
      <c r="F30" s="37" t="n">
        <f aca="false">SUMPRODUCT((元データ!$AL$2:$AL$2001=1)*(元データ!$AN$2:$AN$2001=1)*(元データ!$AM$2:$AM$2001&gt;=15)*(元データ!$AM$2:$AM$2001&lt;=21))</f>
        <v>22</v>
      </c>
      <c r="G30" s="37" t="n">
        <f aca="false">SUMPRODUCT((元データ!$AL$2:$AL$2001=1)*(元データ!$AN$2:$AN$2001=1)*(元データ!$AM$2:$AM$2001&gt;=22)*(元データ!$AM$2:$AM$2001&lt;=30))</f>
        <v>18</v>
      </c>
      <c r="H30" s="37" t="n">
        <f aca="false">SUMPRODUCT((元データ!$AL$2:$AL$2001=1)*(元データ!$AN$2:$AN$2001=1)*(元データ!$AM$2:$AM$2001&gt;=31))</f>
        <v>118</v>
      </c>
    </row>
    <row r="32" customFormat="false" ht="13.5" hidden="false" customHeight="true" outlineLevel="0" collapsed="false">
      <c r="B32" s="11" t="s">
        <v>131</v>
      </c>
    </row>
    <row r="33" customFormat="false" ht="27.75" hidden="false" customHeight="true" outlineLevel="0" collapsed="false">
      <c r="B33" s="39" t="s">
        <v>132</v>
      </c>
      <c r="C33" s="40" t="s">
        <v>133</v>
      </c>
      <c r="D33" s="41" t="s">
        <v>134</v>
      </c>
      <c r="E33" s="40" t="s">
        <v>119</v>
      </c>
      <c r="F33" s="23" t="s">
        <v>120</v>
      </c>
      <c r="G33" s="23"/>
      <c r="H33" s="23" t="s">
        <v>121</v>
      </c>
      <c r="I33" s="23"/>
      <c r="J33" s="23" t="s">
        <v>122</v>
      </c>
      <c r="K33" s="23"/>
      <c r="L33" s="23" t="s">
        <v>123</v>
      </c>
      <c r="M33" s="23"/>
      <c r="N33" s="23" t="s">
        <v>124</v>
      </c>
      <c r="O33" s="23"/>
    </row>
    <row r="34" customFormat="false" ht="18" hidden="false" customHeight="true" outlineLevel="0" collapsed="false">
      <c r="B34" s="39"/>
      <c r="C34" s="40"/>
      <c r="D34" s="41"/>
      <c r="E34" s="40"/>
      <c r="F34" s="42" t="s">
        <v>135</v>
      </c>
      <c r="G34" s="42" t="s">
        <v>136</v>
      </c>
      <c r="H34" s="42" t="s">
        <v>135</v>
      </c>
      <c r="I34" s="42" t="s">
        <v>136</v>
      </c>
      <c r="J34" s="42" t="s">
        <v>135</v>
      </c>
      <c r="K34" s="42" t="s">
        <v>136</v>
      </c>
      <c r="L34" s="42" t="s">
        <v>135</v>
      </c>
      <c r="M34" s="42" t="s">
        <v>136</v>
      </c>
      <c r="N34" s="42" t="s">
        <v>135</v>
      </c>
      <c r="O34" s="42" t="s">
        <v>136</v>
      </c>
    </row>
    <row r="35" customFormat="false" ht="42" hidden="false" customHeight="true" outlineLevel="0" collapsed="false">
      <c r="B35" s="43"/>
      <c r="C35" s="44" t="s">
        <v>137</v>
      </c>
      <c r="D35" s="45" t="s">
        <v>138</v>
      </c>
      <c r="E35" s="46" t="n">
        <f aca="false">SUMPRODUCT((元データ!$AL$2:$AL$2001=1)*(元データ!$AN$2:$AN$2001=1)*(元データ!$AE$2:$AE$2001=$C$35)*(元データ!$AO$2:$AO$2001=1))</f>
        <v>30</v>
      </c>
      <c r="F35" s="47" t="s">
        <v>139</v>
      </c>
      <c r="G35" s="48" t="s">
        <v>140</v>
      </c>
      <c r="H35" s="47" t="s">
        <v>141</v>
      </c>
      <c r="I35" s="48" t="s">
        <v>142</v>
      </c>
      <c r="J35" s="49" t="s">
        <v>143</v>
      </c>
      <c r="K35" s="50" t="s">
        <v>144</v>
      </c>
      <c r="L35" s="51" t="s">
        <v>145</v>
      </c>
      <c r="M35" s="52" t="s">
        <v>146</v>
      </c>
      <c r="N35" s="53" t="s">
        <v>147</v>
      </c>
      <c r="O35" s="54" t="s">
        <v>148</v>
      </c>
    </row>
    <row r="36" customFormat="false" ht="42" hidden="false" customHeight="true" outlineLevel="0" collapsed="false">
      <c r="B36" s="43"/>
      <c r="C36" s="44"/>
      <c r="D36" s="55" t="s">
        <v>149</v>
      </c>
      <c r="E36" s="56" t="n">
        <f aca="false">SUMPRODUCT((元データ!$AL$2:$AL$2001=1)*(元データ!$AN$2:$AN$2001=1)*(元データ!$AE$2:$AE$2001=$C$35)*(元データ!$AO$2:$AO$2001=0))</f>
        <v>4</v>
      </c>
      <c r="F36" s="57" t="s">
        <v>150</v>
      </c>
      <c r="G36" s="58" t="s">
        <v>150</v>
      </c>
      <c r="H36" s="57" t="s">
        <v>151</v>
      </c>
      <c r="I36" s="58" t="s">
        <v>152</v>
      </c>
      <c r="J36" s="59" t="s">
        <v>153</v>
      </c>
      <c r="K36" s="60" t="s">
        <v>154</v>
      </c>
      <c r="L36" s="57" t="s">
        <v>150</v>
      </c>
      <c r="M36" s="58" t="s">
        <v>150</v>
      </c>
      <c r="N36" s="61" t="s">
        <v>155</v>
      </c>
      <c r="O36" s="62" t="s">
        <v>156</v>
      </c>
      <c r="P36" s="63"/>
    </row>
    <row r="37" customFormat="false" ht="42" hidden="false" customHeight="true" outlineLevel="0" collapsed="false">
      <c r="B37" s="43"/>
      <c r="C37" s="44" t="s">
        <v>157</v>
      </c>
      <c r="D37" s="45" t="s">
        <v>138</v>
      </c>
      <c r="E37" s="46" t="n">
        <f aca="false">SUMPRODUCT((元データ!$AL$2:$AL$2001=1)*(元データ!$AN$2:$AN$2001=1)*(元データ!$AE$2:$AE$2001=$C$37)*(元データ!$AO$2:$AO$2001=1))</f>
        <v>2</v>
      </c>
      <c r="F37" s="47" t="s">
        <v>150</v>
      </c>
      <c r="G37" s="48" t="s">
        <v>150</v>
      </c>
      <c r="H37" s="47" t="s">
        <v>150</v>
      </c>
      <c r="I37" s="48" t="s">
        <v>150</v>
      </c>
      <c r="J37" s="47" t="s">
        <v>150</v>
      </c>
      <c r="K37" s="48" t="s">
        <v>150</v>
      </c>
      <c r="L37" s="47" t="s">
        <v>150</v>
      </c>
      <c r="M37" s="48" t="s">
        <v>150</v>
      </c>
      <c r="N37" s="53" t="s">
        <v>158</v>
      </c>
      <c r="O37" s="54" t="s">
        <v>159</v>
      </c>
    </row>
    <row r="38" customFormat="false" ht="42" hidden="false" customHeight="true" outlineLevel="0" collapsed="false">
      <c r="B38" s="43"/>
      <c r="C38" s="44"/>
      <c r="D38" s="55" t="s">
        <v>149</v>
      </c>
      <c r="E38" s="56" t="n">
        <f aca="false">SUMPRODUCT((元データ!$AL$2:$AL$2001=1)*(元データ!$AN$2:$AN$2001=1)*(元データ!$AE$2:$AE$2001=$C$37)*(元データ!$AO$2:$AO$2001=0))</f>
        <v>46</v>
      </c>
      <c r="F38" s="57" t="s">
        <v>160</v>
      </c>
      <c r="G38" s="58" t="s">
        <v>161</v>
      </c>
      <c r="H38" s="57" t="s">
        <v>162</v>
      </c>
      <c r="I38" s="58" t="s">
        <v>163</v>
      </c>
      <c r="J38" s="59" t="s">
        <v>164</v>
      </c>
      <c r="K38" s="60" t="s">
        <v>165</v>
      </c>
      <c r="L38" s="57" t="s">
        <v>150</v>
      </c>
      <c r="M38" s="58" t="s">
        <v>150</v>
      </c>
      <c r="N38" s="61" t="s">
        <v>166</v>
      </c>
      <c r="O38" s="62" t="s">
        <v>167</v>
      </c>
      <c r="P38" s="63"/>
    </row>
    <row r="39" customFormat="false" ht="42" hidden="false" customHeight="true" outlineLevel="0" collapsed="false">
      <c r="B39" s="43"/>
      <c r="C39" s="44" t="s">
        <v>168</v>
      </c>
      <c r="D39" s="45" t="s">
        <v>138</v>
      </c>
      <c r="E39" s="46" t="n">
        <f aca="false">SUMPRODUCT((元データ!$AL$2:$AL$2001=1)*(元データ!$AN$2:$AN$2001=1)*(元データ!$AE$2:$AE$2001=$C$39)*(元データ!$AO$2:$AO$2001=1))</f>
        <v>1</v>
      </c>
      <c r="F39" s="47" t="s">
        <v>151</v>
      </c>
      <c r="G39" s="48" t="s">
        <v>169</v>
      </c>
      <c r="H39" s="47" t="s">
        <v>150</v>
      </c>
      <c r="I39" s="48" t="s">
        <v>150</v>
      </c>
      <c r="J39" s="47" t="s">
        <v>150</v>
      </c>
      <c r="K39" s="48" t="s">
        <v>150</v>
      </c>
      <c r="L39" s="47" t="s">
        <v>150</v>
      </c>
      <c r="M39" s="48" t="s">
        <v>150</v>
      </c>
      <c r="N39" s="47" t="s">
        <v>150</v>
      </c>
      <c r="O39" s="48" t="s">
        <v>150</v>
      </c>
    </row>
    <row r="40" customFormat="false" ht="42" hidden="false" customHeight="true" outlineLevel="0" collapsed="false">
      <c r="B40" s="43"/>
      <c r="C40" s="44"/>
      <c r="D40" s="55" t="s">
        <v>149</v>
      </c>
      <c r="E40" s="56" t="n">
        <f aca="false">SUMPRODUCT((元データ!$AL$2:$AL$2001=1)*(元データ!$AN$2:$AN$2001=1)*(元データ!$AE$2:$AE$2001=$C$39)*(元データ!$AO$2:$AO$2001=0))</f>
        <v>0</v>
      </c>
      <c r="F40" s="57" t="s">
        <v>150</v>
      </c>
      <c r="G40" s="58" t="s">
        <v>150</v>
      </c>
      <c r="H40" s="57" t="s">
        <v>150</v>
      </c>
      <c r="I40" s="58" t="s">
        <v>150</v>
      </c>
      <c r="J40" s="57" t="s">
        <v>150</v>
      </c>
      <c r="K40" s="58" t="s">
        <v>150</v>
      </c>
      <c r="L40" s="57" t="s">
        <v>150</v>
      </c>
      <c r="M40" s="58" t="s">
        <v>150</v>
      </c>
      <c r="N40" s="57" t="s">
        <v>150</v>
      </c>
      <c r="O40" s="58" t="s">
        <v>150</v>
      </c>
      <c r="P40" s="63"/>
    </row>
    <row r="41" customFormat="false" ht="42" hidden="false" customHeight="true" outlineLevel="0" collapsed="false">
      <c r="B41" s="43"/>
      <c r="C41" s="44" t="s">
        <v>170</v>
      </c>
      <c r="D41" s="45" t="s">
        <v>138</v>
      </c>
      <c r="E41" s="46" t="n">
        <f aca="false">SUMPRODUCT((元データ!$AL$2:$AL$2001=1)*(元データ!$AN$2:$AN$2001=1)*(元データ!$AE$2:$AE$2001=$C$41)*(元データ!$AO$2:$AO$2001=1))</f>
        <v>1</v>
      </c>
      <c r="F41" s="47" t="s">
        <v>150</v>
      </c>
      <c r="G41" s="48" t="s">
        <v>150</v>
      </c>
      <c r="H41" s="47" t="s">
        <v>150</v>
      </c>
      <c r="I41" s="48" t="s">
        <v>150</v>
      </c>
      <c r="J41" s="47" t="s">
        <v>150</v>
      </c>
      <c r="K41" s="48" t="s">
        <v>150</v>
      </c>
      <c r="L41" s="47" t="s">
        <v>150</v>
      </c>
      <c r="M41" s="48" t="s">
        <v>150</v>
      </c>
      <c r="N41" s="53" t="s">
        <v>171</v>
      </c>
      <c r="O41" s="54" t="s">
        <v>172</v>
      </c>
    </row>
    <row r="42" customFormat="false" ht="42" hidden="false" customHeight="true" outlineLevel="0" collapsed="false">
      <c r="B42" s="43"/>
      <c r="C42" s="44"/>
      <c r="D42" s="55" t="s">
        <v>149</v>
      </c>
      <c r="E42" s="56" t="n">
        <f aca="false">SUMPRODUCT((元データ!$AL$2:$AL$2001=1)*(元データ!$AN$2:$AN$2001=1)*(元データ!$AE$2:$AE$2001=$C$41)*(元データ!$AO$2:$AO$2001=0))</f>
        <v>0</v>
      </c>
      <c r="F42" s="57" t="s">
        <v>150</v>
      </c>
      <c r="G42" s="58" t="s">
        <v>150</v>
      </c>
      <c r="H42" s="57" t="s">
        <v>150</v>
      </c>
      <c r="I42" s="58" t="s">
        <v>150</v>
      </c>
      <c r="J42" s="57" t="s">
        <v>150</v>
      </c>
      <c r="K42" s="58" t="s">
        <v>150</v>
      </c>
      <c r="L42" s="57" t="s">
        <v>150</v>
      </c>
      <c r="M42" s="58" t="s">
        <v>150</v>
      </c>
      <c r="N42" s="57" t="s">
        <v>150</v>
      </c>
      <c r="O42" s="58" t="s">
        <v>150</v>
      </c>
      <c r="P42" s="63"/>
    </row>
    <row r="43" customFormat="false" ht="42" hidden="false" customHeight="true" outlineLevel="0" collapsed="false">
      <c r="B43" s="43"/>
      <c r="C43" s="44" t="s">
        <v>173</v>
      </c>
      <c r="D43" s="45" t="s">
        <v>138</v>
      </c>
      <c r="E43" s="46" t="n">
        <f aca="false">SUMPRODUCT((元データ!$AL$2:$AL$2001=1)*(元データ!$AN$2:$AN$2001=1)*(元データ!$AE$2:$AE$2001=$C$43)*(元データ!$AO$2:$AO$2001=1))</f>
        <v>21</v>
      </c>
      <c r="F43" s="47" t="s">
        <v>174</v>
      </c>
      <c r="G43" s="48" t="s">
        <v>175</v>
      </c>
      <c r="H43" s="47" t="s">
        <v>174</v>
      </c>
      <c r="I43" s="48" t="s">
        <v>176</v>
      </c>
      <c r="J43" s="47" t="s">
        <v>150</v>
      </c>
      <c r="K43" s="48" t="s">
        <v>150</v>
      </c>
      <c r="L43" s="51" t="s">
        <v>177</v>
      </c>
      <c r="M43" s="52" t="s">
        <v>178</v>
      </c>
      <c r="N43" s="53" t="s">
        <v>179</v>
      </c>
      <c r="O43" s="54" t="s">
        <v>180</v>
      </c>
    </row>
    <row r="44" customFormat="false" ht="42" hidden="false" customHeight="true" outlineLevel="0" collapsed="false">
      <c r="B44" s="43"/>
      <c r="C44" s="44"/>
      <c r="D44" s="55" t="s">
        <v>149</v>
      </c>
      <c r="E44" s="56" t="n">
        <f aca="false">SUMPRODUCT((元データ!$AL$2:$AL$2001=1)*(元データ!$AN$2:$AN$2001=1)*(元データ!$AE$2:$AE$2001=$C$43)*(元データ!$AO$2:$AO$2001=0))</f>
        <v>1</v>
      </c>
      <c r="F44" s="57" t="s">
        <v>151</v>
      </c>
      <c r="G44" s="58" t="s">
        <v>181</v>
      </c>
      <c r="H44" s="57" t="s">
        <v>150</v>
      </c>
      <c r="I44" s="58" t="s">
        <v>150</v>
      </c>
      <c r="J44" s="57" t="s">
        <v>150</v>
      </c>
      <c r="K44" s="58" t="s">
        <v>150</v>
      </c>
      <c r="L44" s="57" t="s">
        <v>150</v>
      </c>
      <c r="M44" s="58" t="s">
        <v>150</v>
      </c>
      <c r="N44" s="57" t="s">
        <v>150</v>
      </c>
      <c r="O44" s="58" t="s">
        <v>150</v>
      </c>
      <c r="P44" s="63"/>
    </row>
    <row r="45" customFormat="false" ht="42" hidden="false" customHeight="true" outlineLevel="0" collapsed="false">
      <c r="B45" s="43"/>
      <c r="C45" s="44" t="s">
        <v>182</v>
      </c>
      <c r="D45" s="45" t="s">
        <v>138</v>
      </c>
      <c r="E45" s="46" t="n">
        <f aca="false">SUMPRODUCT((元データ!$AL$2:$AL$2001=1)*(元データ!$AN$2:$AN$2001=1)*(元データ!$AE$2:$AE$2001=$C$45)*(元データ!$AO$2:$AO$2001=1))</f>
        <v>6</v>
      </c>
      <c r="F45" s="47" t="s">
        <v>139</v>
      </c>
      <c r="G45" s="48" t="s">
        <v>183</v>
      </c>
      <c r="H45" s="47" t="s">
        <v>184</v>
      </c>
      <c r="I45" s="48" t="s">
        <v>185</v>
      </c>
      <c r="J45" s="47" t="s">
        <v>150</v>
      </c>
      <c r="K45" s="48" t="s">
        <v>150</v>
      </c>
      <c r="L45" s="47" t="s">
        <v>150</v>
      </c>
      <c r="M45" s="48" t="s">
        <v>150</v>
      </c>
      <c r="N45" s="53" t="s">
        <v>186</v>
      </c>
      <c r="O45" s="54" t="s">
        <v>187</v>
      </c>
    </row>
    <row r="46" customFormat="false" ht="42" hidden="false" customHeight="true" outlineLevel="0" collapsed="false">
      <c r="B46" s="43"/>
      <c r="C46" s="44"/>
      <c r="D46" s="55" t="s">
        <v>149</v>
      </c>
      <c r="E46" s="56" t="n">
        <f aca="false">SUMPRODUCT((元データ!$AL$2:$AL$2001=1)*(元データ!$AN$2:$AN$2001=1)*(元データ!$AE$2:$AE$2001=$C$45)*(元データ!$AO$2:$AO$2001=0))</f>
        <v>1</v>
      </c>
      <c r="F46" s="57" t="s">
        <v>150</v>
      </c>
      <c r="G46" s="58" t="s">
        <v>150</v>
      </c>
      <c r="H46" s="57" t="s">
        <v>150</v>
      </c>
      <c r="I46" s="58" t="s">
        <v>150</v>
      </c>
      <c r="J46" s="59" t="s">
        <v>188</v>
      </c>
      <c r="K46" s="60" t="s">
        <v>189</v>
      </c>
      <c r="L46" s="57" t="s">
        <v>150</v>
      </c>
      <c r="M46" s="58" t="s">
        <v>150</v>
      </c>
      <c r="N46" s="57" t="s">
        <v>150</v>
      </c>
      <c r="O46" s="58" t="s">
        <v>150</v>
      </c>
      <c r="P46" s="63"/>
    </row>
    <row r="47" customFormat="false" ht="42" hidden="false" customHeight="true" outlineLevel="0" collapsed="false">
      <c r="B47" s="43"/>
      <c r="C47" s="44" t="s">
        <v>190</v>
      </c>
      <c r="D47" s="45" t="s">
        <v>138</v>
      </c>
      <c r="E47" s="46" t="n">
        <f aca="false">SUMPRODUCT((元データ!$AL$2:$AL$2001=1)*(元データ!$AN$2:$AN$2001=1)*(元データ!$AE$2:$AE$2001=$C$47)*(元データ!$AO$2:$AO$2001=1))</f>
        <v>8</v>
      </c>
      <c r="F47" s="47" t="s">
        <v>151</v>
      </c>
      <c r="G47" s="48" t="s">
        <v>191</v>
      </c>
      <c r="H47" s="47" t="s">
        <v>192</v>
      </c>
      <c r="I47" s="48" t="s">
        <v>193</v>
      </c>
      <c r="J47" s="47" t="s">
        <v>150</v>
      </c>
      <c r="K47" s="48" t="s">
        <v>150</v>
      </c>
      <c r="L47" s="47" t="s">
        <v>150</v>
      </c>
      <c r="M47" s="48" t="s">
        <v>150</v>
      </c>
      <c r="N47" s="53" t="s">
        <v>194</v>
      </c>
      <c r="O47" s="54" t="s">
        <v>195</v>
      </c>
    </row>
    <row r="48" customFormat="false" ht="42" hidden="false" customHeight="true" outlineLevel="0" collapsed="false">
      <c r="B48" s="43"/>
      <c r="C48" s="44"/>
      <c r="D48" s="55" t="s">
        <v>149</v>
      </c>
      <c r="E48" s="56" t="n">
        <f aca="false">SUMPRODUCT((元データ!$AL$2:$AL$2001=1)*(元データ!$AN$2:$AN$2001=1)*(元データ!$AE$2:$AE$2001=$C$47)*(元データ!$AO$2:$AO$2001=0))</f>
        <v>5</v>
      </c>
      <c r="F48" s="57" t="s">
        <v>196</v>
      </c>
      <c r="G48" s="58" t="s">
        <v>197</v>
      </c>
      <c r="H48" s="57" t="s">
        <v>150</v>
      </c>
      <c r="I48" s="58" t="s">
        <v>150</v>
      </c>
      <c r="J48" s="57" t="s">
        <v>150</v>
      </c>
      <c r="K48" s="58" t="s">
        <v>150</v>
      </c>
      <c r="L48" s="57" t="s">
        <v>150</v>
      </c>
      <c r="M48" s="58" t="s">
        <v>150</v>
      </c>
      <c r="N48" s="61" t="s">
        <v>198</v>
      </c>
      <c r="O48" s="62" t="s">
        <v>199</v>
      </c>
      <c r="P48" s="63"/>
    </row>
    <row r="49" customFormat="false" ht="42" hidden="false" customHeight="true" outlineLevel="0" collapsed="false">
      <c r="B49" s="43"/>
      <c r="C49" s="44" t="s">
        <v>200</v>
      </c>
      <c r="D49" s="45" t="s">
        <v>138</v>
      </c>
      <c r="E49" s="46" t="n">
        <f aca="false">SUMPRODUCT((元データ!$AL$2:$AL$2001=1)*(元データ!$AN$2:$AN$2001=1)*(元データ!$AE$2:$AE$2001=$C$49)*(元データ!$AO$2:$AO$2001=1))</f>
        <v>1</v>
      </c>
      <c r="F49" s="47" t="s">
        <v>150</v>
      </c>
      <c r="G49" s="48" t="s">
        <v>150</v>
      </c>
      <c r="H49" s="47" t="s">
        <v>150</v>
      </c>
      <c r="I49" s="48" t="s">
        <v>150</v>
      </c>
      <c r="J49" s="47" t="s">
        <v>150</v>
      </c>
      <c r="K49" s="48" t="s">
        <v>150</v>
      </c>
      <c r="L49" s="47" t="s">
        <v>150</v>
      </c>
      <c r="M49" s="48" t="s">
        <v>150</v>
      </c>
      <c r="N49" s="53" t="s">
        <v>198</v>
      </c>
      <c r="O49" s="54" t="s">
        <v>201</v>
      </c>
    </row>
    <row r="50" customFormat="false" ht="42" hidden="false" customHeight="true" outlineLevel="0" collapsed="false">
      <c r="B50" s="43"/>
      <c r="C50" s="44"/>
      <c r="D50" s="55" t="s">
        <v>149</v>
      </c>
      <c r="E50" s="56" t="n">
        <f aca="false">SUMPRODUCT((元データ!$AL$2:$AL$2001=1)*(元データ!$AN$2:$AN$2001=1)*(元データ!$AE$2:$AE$2001=$C$49)*(元データ!$AO$2:$AO$2001=0))</f>
        <v>12</v>
      </c>
      <c r="F50" s="57" t="s">
        <v>196</v>
      </c>
      <c r="G50" s="58" t="s">
        <v>202</v>
      </c>
      <c r="H50" s="57" t="s">
        <v>203</v>
      </c>
      <c r="I50" s="58" t="s">
        <v>204</v>
      </c>
      <c r="J50" s="57" t="s">
        <v>150</v>
      </c>
      <c r="K50" s="58" t="s">
        <v>150</v>
      </c>
      <c r="L50" s="57" t="s">
        <v>150</v>
      </c>
      <c r="M50" s="58" t="s">
        <v>150</v>
      </c>
      <c r="N50" s="61" t="s">
        <v>205</v>
      </c>
      <c r="O50" s="62" t="s">
        <v>206</v>
      </c>
      <c r="P50" s="63"/>
    </row>
    <row r="51" customFormat="false" ht="42" hidden="false" customHeight="true" outlineLevel="0" collapsed="false">
      <c r="B51" s="43"/>
      <c r="C51" s="44" t="s">
        <v>207</v>
      </c>
      <c r="D51" s="45" t="s">
        <v>138</v>
      </c>
      <c r="E51" s="46" t="n">
        <f aca="false">SUMPRODUCT((元データ!$AL$2:$AL$2001=1)*(元データ!$AN$2:$AN$2001=1)*(元データ!$AE$2:$AE$2001=$C$51)*(元データ!$AO$2:$AO$2001=1))</f>
        <v>14</v>
      </c>
      <c r="F51" s="47" t="s">
        <v>174</v>
      </c>
      <c r="G51" s="48" t="s">
        <v>208</v>
      </c>
      <c r="H51" s="47" t="s">
        <v>184</v>
      </c>
      <c r="I51" s="48" t="s">
        <v>209</v>
      </c>
      <c r="J51" s="49" t="s">
        <v>188</v>
      </c>
      <c r="K51" s="50" t="s">
        <v>210</v>
      </c>
      <c r="L51" s="51" t="s">
        <v>177</v>
      </c>
      <c r="M51" s="52" t="s">
        <v>211</v>
      </c>
      <c r="N51" s="53" t="s">
        <v>212</v>
      </c>
      <c r="O51" s="54" t="s">
        <v>213</v>
      </c>
    </row>
    <row r="52" customFormat="false" ht="42" hidden="false" customHeight="true" outlineLevel="0" collapsed="false">
      <c r="B52" s="43"/>
      <c r="C52" s="44"/>
      <c r="D52" s="55" t="s">
        <v>149</v>
      </c>
      <c r="E52" s="56" t="n">
        <f aca="false">SUMPRODUCT((元データ!$AL$2:$AL$2001=1)*(元データ!$AN$2:$AN$2001=1)*(元データ!$AE$2:$AE$2001=$C$51)*(元データ!$AO$2:$AO$2001=0))</f>
        <v>4</v>
      </c>
      <c r="F52" s="57" t="s">
        <v>150</v>
      </c>
      <c r="G52" s="58" t="s">
        <v>150</v>
      </c>
      <c r="H52" s="57" t="s">
        <v>151</v>
      </c>
      <c r="I52" s="58" t="s">
        <v>214</v>
      </c>
      <c r="J52" s="59" t="s">
        <v>215</v>
      </c>
      <c r="K52" s="60" t="s">
        <v>216</v>
      </c>
      <c r="L52" s="57" t="s">
        <v>150</v>
      </c>
      <c r="M52" s="58" t="s">
        <v>150</v>
      </c>
      <c r="N52" s="61" t="s">
        <v>198</v>
      </c>
      <c r="O52" s="62" t="s">
        <v>217</v>
      </c>
      <c r="P52" s="63"/>
    </row>
    <row r="53" customFormat="false" ht="42" hidden="false" customHeight="true" outlineLevel="0" collapsed="false">
      <c r="B53" s="43"/>
      <c r="C53" s="44" t="s">
        <v>218</v>
      </c>
      <c r="D53" s="45" t="s">
        <v>138</v>
      </c>
      <c r="E53" s="46" t="n">
        <f aca="false">SUMPRODUCT((元データ!$AL$2:$AL$2001=1)*(元データ!$AN$2:$AN$2001=1)*(元データ!$AE$2:$AE$2001=$C$53)*(元データ!$AO$2:$AO$2001=1))</f>
        <v>1</v>
      </c>
      <c r="F53" s="47" t="s">
        <v>150</v>
      </c>
      <c r="G53" s="48" t="s">
        <v>150</v>
      </c>
      <c r="H53" s="47" t="s">
        <v>150</v>
      </c>
      <c r="I53" s="48" t="s">
        <v>150</v>
      </c>
      <c r="J53" s="47" t="s">
        <v>150</v>
      </c>
      <c r="K53" s="48" t="s">
        <v>150</v>
      </c>
      <c r="L53" s="51" t="s">
        <v>188</v>
      </c>
      <c r="M53" s="52" t="s">
        <v>219</v>
      </c>
      <c r="N53" s="47" t="s">
        <v>150</v>
      </c>
      <c r="O53" s="48" t="s">
        <v>150</v>
      </c>
    </row>
    <row r="54" customFormat="false" ht="42" hidden="false" customHeight="true" outlineLevel="0" collapsed="false">
      <c r="B54" s="43"/>
      <c r="C54" s="44"/>
      <c r="D54" s="55" t="s">
        <v>149</v>
      </c>
      <c r="E54" s="56" t="n">
        <f aca="false">SUMPRODUCT((元データ!$AL$2:$AL$2001=1)*(元データ!$AN$2:$AN$2001=1)*(元データ!$AE$2:$AE$2001=$C$53)*(元データ!$AO$2:$AO$2001=0))</f>
        <v>3</v>
      </c>
      <c r="F54" s="57" t="s">
        <v>151</v>
      </c>
      <c r="G54" s="58" t="s">
        <v>220</v>
      </c>
      <c r="H54" s="57" t="s">
        <v>184</v>
      </c>
      <c r="I54" s="58" t="s">
        <v>221</v>
      </c>
      <c r="J54" s="57" t="s">
        <v>150</v>
      </c>
      <c r="K54" s="58" t="s">
        <v>150</v>
      </c>
      <c r="L54" s="64" t="s">
        <v>188</v>
      </c>
      <c r="M54" s="65" t="s">
        <v>222</v>
      </c>
      <c r="N54" s="57" t="s">
        <v>150</v>
      </c>
      <c r="O54" s="58" t="s">
        <v>150</v>
      </c>
      <c r="P54" s="63"/>
    </row>
    <row r="55" customFormat="false" ht="42" hidden="false" customHeight="true" outlineLevel="0" collapsed="false">
      <c r="B55" s="43"/>
      <c r="C55" s="44" t="s">
        <v>223</v>
      </c>
      <c r="D55" s="45" t="s">
        <v>138</v>
      </c>
      <c r="E55" s="46" t="n">
        <f aca="false">SUMPRODUCT((元データ!$AL$2:$AL$2001=1)*(元データ!$AN$2:$AN$2001=1)*(元データ!$AE$2:$AE$2001=$C$55)*(元データ!$AO$2:$AO$2001=1))</f>
        <v>1</v>
      </c>
      <c r="F55" s="47" t="s">
        <v>150</v>
      </c>
      <c r="G55" s="48" t="s">
        <v>150</v>
      </c>
      <c r="H55" s="47" t="s">
        <v>150</v>
      </c>
      <c r="I55" s="48" t="s">
        <v>150</v>
      </c>
      <c r="J55" s="47" t="s">
        <v>150</v>
      </c>
      <c r="K55" s="48" t="s">
        <v>150</v>
      </c>
      <c r="L55" s="47" t="s">
        <v>150</v>
      </c>
      <c r="M55" s="48" t="s">
        <v>150</v>
      </c>
      <c r="N55" s="53" t="s">
        <v>224</v>
      </c>
      <c r="O55" s="54" t="s">
        <v>225</v>
      </c>
    </row>
    <row r="56" customFormat="false" ht="42" hidden="false" customHeight="true" outlineLevel="0" collapsed="false">
      <c r="B56" s="43"/>
      <c r="C56" s="44"/>
      <c r="D56" s="55" t="s">
        <v>149</v>
      </c>
      <c r="E56" s="56" t="n">
        <f aca="false">SUMPRODUCT((元データ!$AL$2:$AL$2001=1)*(元データ!$AN$2:$AN$2001=1)*(元データ!$AE$2:$AE$2001=$C$55)*(元データ!$AO$2:$AO$2001=0))</f>
        <v>0</v>
      </c>
      <c r="F56" s="57" t="s">
        <v>150</v>
      </c>
      <c r="G56" s="58" t="s">
        <v>150</v>
      </c>
      <c r="H56" s="57" t="s">
        <v>150</v>
      </c>
      <c r="I56" s="58" t="s">
        <v>150</v>
      </c>
      <c r="J56" s="57" t="s">
        <v>150</v>
      </c>
      <c r="K56" s="58" t="s">
        <v>150</v>
      </c>
      <c r="L56" s="57" t="s">
        <v>150</v>
      </c>
      <c r="M56" s="58" t="s">
        <v>150</v>
      </c>
      <c r="N56" s="57" t="s">
        <v>150</v>
      </c>
      <c r="O56" s="58" t="s">
        <v>150</v>
      </c>
      <c r="P56" s="63"/>
    </row>
    <row r="57" customFormat="false" ht="42" hidden="false" customHeight="true" outlineLevel="0" collapsed="false">
      <c r="B57" s="43"/>
      <c r="C57" s="44" t="s">
        <v>226</v>
      </c>
      <c r="D57" s="45" t="s">
        <v>138</v>
      </c>
      <c r="E57" s="46" t="n">
        <f aca="false">SUMPRODUCT((元データ!$AL$2:$AL$2001=1)*(元データ!$AN$2:$AN$2001=1)*(元データ!$AE$2:$AE$2001=$C$57)*(元データ!$AO$2:$AO$2001=1))</f>
        <v>1</v>
      </c>
      <c r="F57" s="47" t="s">
        <v>150</v>
      </c>
      <c r="G57" s="48" t="s">
        <v>150</v>
      </c>
      <c r="H57" s="47" t="s">
        <v>150</v>
      </c>
      <c r="I57" s="48" t="s">
        <v>150</v>
      </c>
      <c r="J57" s="47" t="s">
        <v>150</v>
      </c>
      <c r="K57" s="48" t="s">
        <v>150</v>
      </c>
      <c r="L57" s="51" t="s">
        <v>153</v>
      </c>
      <c r="M57" s="52" t="s">
        <v>227</v>
      </c>
      <c r="N57" s="47" t="s">
        <v>150</v>
      </c>
      <c r="O57" s="48" t="s">
        <v>150</v>
      </c>
    </row>
    <row r="58" customFormat="false" ht="42" hidden="false" customHeight="true" outlineLevel="0" collapsed="false">
      <c r="B58" s="43"/>
      <c r="C58" s="44"/>
      <c r="D58" s="55" t="s">
        <v>149</v>
      </c>
      <c r="E58" s="56" t="n">
        <f aca="false">SUMPRODUCT((元データ!$AL$2:$AL$2001=1)*(元データ!$AN$2:$AN$2001=1)*(元データ!$AE$2:$AE$2001=$C$57)*(元データ!$AO$2:$AO$2001=0))</f>
        <v>0</v>
      </c>
      <c r="F58" s="57" t="s">
        <v>150</v>
      </c>
      <c r="G58" s="58" t="s">
        <v>150</v>
      </c>
      <c r="H58" s="57" t="s">
        <v>150</v>
      </c>
      <c r="I58" s="58" t="s">
        <v>150</v>
      </c>
      <c r="J58" s="57" t="s">
        <v>150</v>
      </c>
      <c r="K58" s="58" t="s">
        <v>150</v>
      </c>
      <c r="L58" s="57" t="s">
        <v>150</v>
      </c>
      <c r="M58" s="58" t="s">
        <v>150</v>
      </c>
      <c r="N58" s="57" t="s">
        <v>150</v>
      </c>
      <c r="O58" s="58" t="s">
        <v>150</v>
      </c>
      <c r="P58" s="63"/>
    </row>
    <row r="59" customFormat="false" ht="42" hidden="false" customHeight="true" outlineLevel="0" collapsed="false">
      <c r="B59" s="43"/>
      <c r="C59" s="44" t="s">
        <v>228</v>
      </c>
      <c r="D59" s="45" t="s">
        <v>138</v>
      </c>
      <c r="E59" s="46" t="n">
        <f aca="false">SUMPRODUCT((元データ!$AL$2:$AL$2001=1)*(元データ!$AN$2:$AN$2001=1)*(元データ!$AE$2:$AE$2001=$C$59)*(元データ!$AO$2:$AO$2001=1))</f>
        <v>3</v>
      </c>
      <c r="F59" s="47" t="s">
        <v>150</v>
      </c>
      <c r="G59" s="48" t="s">
        <v>150</v>
      </c>
      <c r="H59" s="47" t="s">
        <v>184</v>
      </c>
      <c r="I59" s="48" t="s">
        <v>229</v>
      </c>
      <c r="J59" s="49" t="s">
        <v>230</v>
      </c>
      <c r="K59" s="50" t="s">
        <v>231</v>
      </c>
      <c r="L59" s="47" t="s">
        <v>150</v>
      </c>
      <c r="M59" s="48" t="s">
        <v>150</v>
      </c>
      <c r="N59" s="47" t="s">
        <v>150</v>
      </c>
      <c r="O59" s="48" t="s">
        <v>150</v>
      </c>
    </row>
    <row r="60" customFormat="false" ht="42" hidden="false" customHeight="true" outlineLevel="0" collapsed="false">
      <c r="B60" s="43"/>
      <c r="C60" s="44"/>
      <c r="D60" s="55" t="s">
        <v>149</v>
      </c>
      <c r="E60" s="56" t="n">
        <f aca="false">SUMPRODUCT((元データ!$AL$2:$AL$2001=1)*(元データ!$AN$2:$AN$2001=1)*(元データ!$AE$2:$AE$2001=$C$59)*(元データ!$AO$2:$AO$2001=0))</f>
        <v>0</v>
      </c>
      <c r="F60" s="57" t="s">
        <v>150</v>
      </c>
      <c r="G60" s="58" t="s">
        <v>150</v>
      </c>
      <c r="H60" s="57" t="s">
        <v>150</v>
      </c>
      <c r="I60" s="58" t="s">
        <v>150</v>
      </c>
      <c r="J60" s="57" t="s">
        <v>150</v>
      </c>
      <c r="K60" s="58" t="s">
        <v>150</v>
      </c>
      <c r="L60" s="57" t="s">
        <v>150</v>
      </c>
      <c r="M60" s="58" t="s">
        <v>150</v>
      </c>
      <c r="N60" s="57" t="s">
        <v>150</v>
      </c>
      <c r="O60" s="58" t="s">
        <v>150</v>
      </c>
      <c r="P60" s="63"/>
    </row>
    <row r="61" customFormat="false" ht="42" hidden="false" customHeight="true" outlineLevel="0" collapsed="false">
      <c r="B61" s="43"/>
      <c r="C61" s="44" t="s">
        <v>232</v>
      </c>
      <c r="D61" s="45" t="s">
        <v>138</v>
      </c>
      <c r="E61" s="46" t="n">
        <f aca="false">SUMPRODUCT((元データ!$AL$2:$AL$2001=1)*(元データ!$AN$2:$AN$2001=1)*(元データ!$AE$2:$AE$2001=$C$61)*(元データ!$AO$2:$AO$2001=1))</f>
        <v>1</v>
      </c>
      <c r="F61" s="47" t="s">
        <v>150</v>
      </c>
      <c r="G61" s="48" t="s">
        <v>150</v>
      </c>
      <c r="H61" s="47" t="s">
        <v>150</v>
      </c>
      <c r="I61" s="48" t="s">
        <v>150</v>
      </c>
      <c r="J61" s="47" t="s">
        <v>150</v>
      </c>
      <c r="K61" s="48" t="s">
        <v>150</v>
      </c>
      <c r="L61" s="47" t="s">
        <v>150</v>
      </c>
      <c r="M61" s="48" t="s">
        <v>150</v>
      </c>
      <c r="N61" s="53" t="s">
        <v>233</v>
      </c>
      <c r="O61" s="54" t="s">
        <v>234</v>
      </c>
    </row>
    <row r="62" customFormat="false" ht="42" hidden="false" customHeight="true" outlineLevel="0" collapsed="false">
      <c r="B62" s="43"/>
      <c r="C62" s="44"/>
      <c r="D62" s="55" t="s">
        <v>149</v>
      </c>
      <c r="E62" s="56" t="n">
        <f aca="false">SUMPRODUCT((元データ!$AL$2:$AL$2001=1)*(元データ!$AN$2:$AN$2001=1)*(元データ!$AE$2:$AE$2001=$C$61)*(元データ!$AO$2:$AO$2001=0))</f>
        <v>0</v>
      </c>
      <c r="F62" s="57" t="s">
        <v>150</v>
      </c>
      <c r="G62" s="58" t="s">
        <v>150</v>
      </c>
      <c r="H62" s="57" t="s">
        <v>150</v>
      </c>
      <c r="I62" s="58" t="s">
        <v>150</v>
      </c>
      <c r="J62" s="57" t="s">
        <v>150</v>
      </c>
      <c r="K62" s="58" t="s">
        <v>150</v>
      </c>
      <c r="L62" s="57" t="s">
        <v>150</v>
      </c>
      <c r="M62" s="58" t="s">
        <v>150</v>
      </c>
      <c r="N62" s="57" t="s">
        <v>150</v>
      </c>
      <c r="O62" s="58" t="s">
        <v>150</v>
      </c>
      <c r="P62" s="63"/>
    </row>
    <row r="63" customFormat="false" ht="42" hidden="false" customHeight="true" outlineLevel="0" collapsed="false">
      <c r="B63" s="43"/>
      <c r="C63" s="44" t="s">
        <v>235</v>
      </c>
      <c r="D63" s="45" t="s">
        <v>138</v>
      </c>
      <c r="E63" s="46" t="n">
        <f aca="false">SUMPRODUCT((元データ!$AL$2:$AL$2001=1)*(元データ!$AN$2:$AN$2001=1)*(元データ!$AE$2:$AE$2001=$C$63)*(元データ!$AO$2:$AO$2001=1))</f>
        <v>6</v>
      </c>
      <c r="F63" s="47" t="s">
        <v>150</v>
      </c>
      <c r="G63" s="48" t="s">
        <v>150</v>
      </c>
      <c r="H63" s="47" t="s">
        <v>150</v>
      </c>
      <c r="I63" s="48" t="s">
        <v>150</v>
      </c>
      <c r="J63" s="47" t="s">
        <v>150</v>
      </c>
      <c r="K63" s="48" t="s">
        <v>150</v>
      </c>
      <c r="L63" s="51" t="s">
        <v>236</v>
      </c>
      <c r="M63" s="52" t="s">
        <v>237</v>
      </c>
      <c r="N63" s="53" t="s">
        <v>238</v>
      </c>
      <c r="O63" s="54" t="s">
        <v>239</v>
      </c>
    </row>
    <row r="64" customFormat="false" ht="42" hidden="false" customHeight="true" outlineLevel="0" collapsed="false">
      <c r="B64" s="43"/>
      <c r="C64" s="44"/>
      <c r="D64" s="55" t="s">
        <v>149</v>
      </c>
      <c r="E64" s="56" t="n">
        <f aca="false">SUMPRODUCT((元データ!$AL$2:$AL$2001=1)*(元データ!$AN$2:$AN$2001=1)*(元データ!$AE$2:$AE$2001=$C$63)*(元データ!$AO$2:$AO$2001=0))</f>
        <v>6</v>
      </c>
      <c r="F64" s="57" t="s">
        <v>151</v>
      </c>
      <c r="G64" s="58" t="s">
        <v>240</v>
      </c>
      <c r="H64" s="57" t="s">
        <v>151</v>
      </c>
      <c r="I64" s="58" t="s">
        <v>241</v>
      </c>
      <c r="J64" s="57" t="s">
        <v>150</v>
      </c>
      <c r="K64" s="58" t="s">
        <v>150</v>
      </c>
      <c r="L64" s="64" t="s">
        <v>177</v>
      </c>
      <c r="M64" s="65" t="s">
        <v>242</v>
      </c>
      <c r="N64" s="61" t="s">
        <v>243</v>
      </c>
      <c r="O64" s="62" t="s">
        <v>244</v>
      </c>
      <c r="P64" s="63"/>
    </row>
    <row r="65" customFormat="false" ht="42" hidden="false" customHeight="true" outlineLevel="0" collapsed="false">
      <c r="B65" s="43"/>
      <c r="C65" s="44" t="s">
        <v>245</v>
      </c>
      <c r="D65" s="45" t="s">
        <v>138</v>
      </c>
      <c r="E65" s="46" t="n">
        <f aca="false">SUMPRODUCT((元データ!$AL$2:$AL$2001=1)*(元データ!$AN$2:$AN$2001=1)*(元データ!$AE$2:$AE$2001=$C$65)*(元データ!$AO$2:$AO$2001=1))</f>
        <v>1</v>
      </c>
      <c r="F65" s="47" t="s">
        <v>150</v>
      </c>
      <c r="G65" s="48" t="s">
        <v>150</v>
      </c>
      <c r="H65" s="47" t="s">
        <v>150</v>
      </c>
      <c r="I65" s="48" t="s">
        <v>150</v>
      </c>
      <c r="J65" s="47" t="s">
        <v>150</v>
      </c>
      <c r="K65" s="48" t="s">
        <v>150</v>
      </c>
      <c r="L65" s="47" t="s">
        <v>150</v>
      </c>
      <c r="M65" s="48" t="s">
        <v>150</v>
      </c>
      <c r="N65" s="53" t="s">
        <v>224</v>
      </c>
      <c r="O65" s="54" t="s">
        <v>246</v>
      </c>
    </row>
    <row r="66" customFormat="false" ht="42" hidden="false" customHeight="true" outlineLevel="0" collapsed="false">
      <c r="B66" s="43"/>
      <c r="C66" s="44"/>
      <c r="D66" s="55" t="s">
        <v>149</v>
      </c>
      <c r="E66" s="56" t="n">
        <f aca="false">SUMPRODUCT((元データ!$AL$2:$AL$2001=1)*(元データ!$AN$2:$AN$2001=1)*(元データ!$AE$2:$AE$2001=$C$65)*(元データ!$AO$2:$AO$2001=0))</f>
        <v>13</v>
      </c>
      <c r="F66" s="57" t="s">
        <v>247</v>
      </c>
      <c r="G66" s="58" t="s">
        <v>248</v>
      </c>
      <c r="H66" s="57" t="s">
        <v>249</v>
      </c>
      <c r="I66" s="58" t="s">
        <v>250</v>
      </c>
      <c r="J66" s="59" t="s">
        <v>188</v>
      </c>
      <c r="K66" s="60" t="s">
        <v>251</v>
      </c>
      <c r="L66" s="57" t="s">
        <v>150</v>
      </c>
      <c r="M66" s="58" t="s">
        <v>150</v>
      </c>
      <c r="N66" s="61" t="s">
        <v>252</v>
      </c>
      <c r="O66" s="62" t="s">
        <v>253</v>
      </c>
      <c r="P66" s="63"/>
    </row>
    <row r="67" customFormat="false" ht="42" hidden="false" customHeight="true" outlineLevel="0" collapsed="false">
      <c r="B67" s="43"/>
      <c r="C67" s="44" t="s">
        <v>254</v>
      </c>
      <c r="D67" s="45" t="s">
        <v>138</v>
      </c>
      <c r="E67" s="46" t="n">
        <f aca="false">SUMPRODUCT((元データ!$AL$2:$AL$2001=1)*(元データ!$AN$2:$AN$2001=1)*(元データ!$AE$2:$AE$2001=$C$67)*(元データ!$AO$2:$AO$2001=1))</f>
        <v>2</v>
      </c>
      <c r="F67" s="47" t="s">
        <v>150</v>
      </c>
      <c r="G67" s="48" t="s">
        <v>150</v>
      </c>
      <c r="H67" s="47" t="s">
        <v>150</v>
      </c>
      <c r="I67" s="48" t="s">
        <v>150</v>
      </c>
      <c r="J67" s="47" t="s">
        <v>150</v>
      </c>
      <c r="K67" s="48" t="s">
        <v>150</v>
      </c>
      <c r="L67" s="47" t="s">
        <v>150</v>
      </c>
      <c r="M67" s="48" t="s">
        <v>150</v>
      </c>
      <c r="N67" s="53" t="s">
        <v>255</v>
      </c>
      <c r="O67" s="54" t="s">
        <v>256</v>
      </c>
    </row>
    <row r="68" customFormat="false" ht="42" hidden="false" customHeight="true" outlineLevel="0" collapsed="false">
      <c r="B68" s="43"/>
      <c r="C68" s="44"/>
      <c r="D68" s="55" t="s">
        <v>149</v>
      </c>
      <c r="E68" s="56" t="n">
        <f aca="false">SUMPRODUCT((元データ!$AL$2:$AL$2001=1)*(元データ!$AN$2:$AN$2001=1)*(元データ!$AE$2:$AE$2001=$C$67)*(元データ!$AO$2:$AO$2001=0))</f>
        <v>3</v>
      </c>
      <c r="F68" s="57" t="s">
        <v>151</v>
      </c>
      <c r="G68" s="58" t="s">
        <v>257</v>
      </c>
      <c r="H68" s="57" t="s">
        <v>258</v>
      </c>
      <c r="I68" s="58" t="s">
        <v>259</v>
      </c>
      <c r="J68" s="57" t="s">
        <v>150</v>
      </c>
      <c r="K68" s="58" t="s">
        <v>150</v>
      </c>
      <c r="L68" s="57" t="s">
        <v>150</v>
      </c>
      <c r="M68" s="58" t="s">
        <v>150</v>
      </c>
      <c r="N68" s="57" t="s">
        <v>150</v>
      </c>
      <c r="O68" s="58" t="s">
        <v>150</v>
      </c>
      <c r="P68" s="63"/>
    </row>
    <row r="69" customFormat="false" ht="42" hidden="false" customHeight="true" outlineLevel="0" collapsed="false">
      <c r="B69" s="43"/>
      <c r="C69" s="44" t="s">
        <v>260</v>
      </c>
      <c r="D69" s="45" t="s">
        <v>138</v>
      </c>
      <c r="E69" s="46" t="n">
        <f aca="false">SUMPRODUCT((元データ!$AL$2:$AL$2001=1)*(元データ!$AN$2:$AN$2001=1)*(元データ!$AE$2:$AE$2001=$C$69)*(元データ!$AO$2:$AO$2001=1))</f>
        <v>16</v>
      </c>
      <c r="F69" s="47" t="s">
        <v>261</v>
      </c>
      <c r="G69" s="48" t="s">
        <v>262</v>
      </c>
      <c r="H69" s="47" t="s">
        <v>263</v>
      </c>
      <c r="I69" s="48" t="s">
        <v>264</v>
      </c>
      <c r="J69" s="49" t="s">
        <v>177</v>
      </c>
      <c r="K69" s="50" t="s">
        <v>265</v>
      </c>
      <c r="L69" s="51" t="s">
        <v>236</v>
      </c>
      <c r="M69" s="52" t="s">
        <v>266</v>
      </c>
      <c r="N69" s="53" t="s">
        <v>267</v>
      </c>
      <c r="O69" s="54" t="s">
        <v>268</v>
      </c>
    </row>
    <row r="70" customFormat="false" ht="42" hidden="false" customHeight="true" outlineLevel="0" collapsed="false">
      <c r="B70" s="43"/>
      <c r="C70" s="44"/>
      <c r="D70" s="55" t="s">
        <v>149</v>
      </c>
      <c r="E70" s="56" t="n">
        <f aca="false">SUMPRODUCT((元データ!$AL$2:$AL$2001=1)*(元データ!$AN$2:$AN$2001=1)*(元データ!$AE$2:$AE$2001=$C$69)*(元データ!$AO$2:$AO$2001=0))</f>
        <v>13</v>
      </c>
      <c r="F70" s="57" t="s">
        <v>269</v>
      </c>
      <c r="G70" s="58" t="s">
        <v>270</v>
      </c>
      <c r="H70" s="57" t="s">
        <v>271</v>
      </c>
      <c r="I70" s="58" t="s">
        <v>272</v>
      </c>
      <c r="J70" s="57" t="s">
        <v>150</v>
      </c>
      <c r="K70" s="58" t="s">
        <v>150</v>
      </c>
      <c r="L70" s="64" t="s">
        <v>188</v>
      </c>
      <c r="M70" s="65" t="s">
        <v>273</v>
      </c>
      <c r="N70" s="61" t="s">
        <v>158</v>
      </c>
      <c r="O70" s="62" t="s">
        <v>274</v>
      </c>
      <c r="P70" s="63"/>
    </row>
    <row r="71" customFormat="false" ht="42" hidden="false" customHeight="true" outlineLevel="0" collapsed="false">
      <c r="B71" s="43"/>
      <c r="C71" s="44" t="s">
        <v>275</v>
      </c>
      <c r="D71" s="45" t="s">
        <v>138</v>
      </c>
      <c r="E71" s="46" t="n">
        <f aca="false">SUMPRODUCT((元データ!$AL$2:$AL$2001=1)*(元データ!$AN$2:$AN$2001=1)*(元データ!$AE$2:$AE$2001=$C$71)*(元データ!$AO$2:$AO$2001=1))</f>
        <v>2</v>
      </c>
      <c r="F71" s="47" t="s">
        <v>263</v>
      </c>
      <c r="G71" s="48" t="s">
        <v>276</v>
      </c>
      <c r="H71" s="47" t="s">
        <v>184</v>
      </c>
      <c r="I71" s="48" t="s">
        <v>277</v>
      </c>
      <c r="J71" s="47" t="s">
        <v>150</v>
      </c>
      <c r="K71" s="48" t="s">
        <v>150</v>
      </c>
      <c r="L71" s="47" t="s">
        <v>150</v>
      </c>
      <c r="M71" s="48" t="s">
        <v>150</v>
      </c>
      <c r="N71" s="47" t="s">
        <v>150</v>
      </c>
      <c r="O71" s="48" t="s">
        <v>150</v>
      </c>
    </row>
    <row r="72" customFormat="false" ht="42" hidden="false" customHeight="true" outlineLevel="0" collapsed="false">
      <c r="B72" s="43"/>
      <c r="C72" s="44"/>
      <c r="D72" s="55" t="s">
        <v>149</v>
      </c>
      <c r="E72" s="56" t="n">
        <f aca="false">SUMPRODUCT((元データ!$AL$2:$AL$2001=1)*(元データ!$AN$2:$AN$2001=1)*(元データ!$AE$2:$AE$2001=$C$71)*(元データ!$AO$2:$AO$2001=0))</f>
        <v>11</v>
      </c>
      <c r="F72" s="57" t="s">
        <v>278</v>
      </c>
      <c r="G72" s="58" t="s">
        <v>279</v>
      </c>
      <c r="H72" s="57" t="s">
        <v>247</v>
      </c>
      <c r="I72" s="58" t="s">
        <v>280</v>
      </c>
      <c r="J72" s="57" t="s">
        <v>150</v>
      </c>
      <c r="K72" s="58" t="s">
        <v>150</v>
      </c>
      <c r="L72" s="57" t="s">
        <v>150</v>
      </c>
      <c r="M72" s="58" t="s">
        <v>150</v>
      </c>
      <c r="N72" s="61" t="s">
        <v>281</v>
      </c>
      <c r="O72" s="62" t="s">
        <v>282</v>
      </c>
      <c r="P72" s="63"/>
    </row>
    <row r="73" customFormat="false" ht="42" hidden="false" customHeight="true" outlineLevel="0" collapsed="false">
      <c r="B73" s="43"/>
      <c r="C73" s="44" t="s">
        <v>283</v>
      </c>
      <c r="D73" s="45" t="s">
        <v>138</v>
      </c>
      <c r="E73" s="46" t="n">
        <f aca="false">SUMPRODUCT((元データ!$AL$2:$AL$2001=1)*(元データ!$AN$2:$AN$2001=1)*(元データ!$AE$2:$AE$2001=$C$73)*(元データ!$AO$2:$AO$2001=1))</f>
        <v>8</v>
      </c>
      <c r="F73" s="47" t="s">
        <v>150</v>
      </c>
      <c r="G73" s="48" t="s">
        <v>150</v>
      </c>
      <c r="H73" s="47" t="s">
        <v>150</v>
      </c>
      <c r="I73" s="48" t="s">
        <v>150</v>
      </c>
      <c r="J73" s="47" t="s">
        <v>150</v>
      </c>
      <c r="K73" s="48" t="s">
        <v>150</v>
      </c>
      <c r="L73" s="51" t="s">
        <v>284</v>
      </c>
      <c r="M73" s="52" t="s">
        <v>285</v>
      </c>
      <c r="N73" s="53" t="s">
        <v>286</v>
      </c>
      <c r="O73" s="54" t="s">
        <v>287</v>
      </c>
    </row>
    <row r="74" customFormat="false" ht="42" hidden="false" customHeight="true" outlineLevel="0" collapsed="false">
      <c r="B74" s="43"/>
      <c r="C74" s="44"/>
      <c r="D74" s="55" t="s">
        <v>149</v>
      </c>
      <c r="E74" s="56" t="n">
        <f aca="false">SUMPRODUCT((元データ!$AL$2:$AL$2001=1)*(元データ!$AN$2:$AN$2001=1)*(元データ!$AE$2:$AE$2001=$C$73)*(元データ!$AO$2:$AO$2001=0))</f>
        <v>4</v>
      </c>
      <c r="F74" s="57" t="s">
        <v>150</v>
      </c>
      <c r="G74" s="58" t="s">
        <v>150</v>
      </c>
      <c r="H74" s="57" t="s">
        <v>288</v>
      </c>
      <c r="I74" s="58" t="s">
        <v>289</v>
      </c>
      <c r="J74" s="57" t="s">
        <v>150</v>
      </c>
      <c r="K74" s="58" t="s">
        <v>150</v>
      </c>
      <c r="L74" s="57" t="s">
        <v>150</v>
      </c>
      <c r="M74" s="58" t="s">
        <v>150</v>
      </c>
      <c r="N74" s="61" t="s">
        <v>290</v>
      </c>
      <c r="O74" s="62" t="s">
        <v>291</v>
      </c>
      <c r="P74" s="63"/>
    </row>
    <row r="75" customFormat="false" ht="42" hidden="false" customHeight="true" outlineLevel="0" collapsed="false">
      <c r="B75" s="43"/>
      <c r="C75" s="44" t="s">
        <v>292</v>
      </c>
      <c r="D75" s="45" t="s">
        <v>138</v>
      </c>
      <c r="E75" s="46" t="n">
        <f aca="false">SUMPRODUCT((元データ!$AL$2:$AL$2001=1)*(元データ!$AN$2:$AN$2001=1)*(元データ!$AE$2:$AE$2001=$C$75)*(元データ!$AO$2:$AO$2001=1))</f>
        <v>14</v>
      </c>
      <c r="F75" s="47" t="s">
        <v>151</v>
      </c>
      <c r="G75" s="48" t="s">
        <v>293</v>
      </c>
      <c r="H75" s="47" t="s">
        <v>294</v>
      </c>
      <c r="I75" s="48" t="s">
        <v>295</v>
      </c>
      <c r="J75" s="49" t="s">
        <v>296</v>
      </c>
      <c r="K75" s="50" t="s">
        <v>297</v>
      </c>
      <c r="L75" s="47" t="s">
        <v>150</v>
      </c>
      <c r="M75" s="48" t="s">
        <v>150</v>
      </c>
      <c r="N75" s="53" t="s">
        <v>298</v>
      </c>
      <c r="O75" s="54" t="s">
        <v>299</v>
      </c>
    </row>
    <row r="76" customFormat="false" ht="42" hidden="false" customHeight="true" outlineLevel="0" collapsed="false">
      <c r="B76" s="43"/>
      <c r="C76" s="44"/>
      <c r="D76" s="55" t="s">
        <v>149</v>
      </c>
      <c r="E76" s="56" t="n">
        <f aca="false">SUMPRODUCT((元データ!$AL$2:$AL$2001=1)*(元データ!$AN$2:$AN$2001=1)*(元データ!$AE$2:$AE$2001=$C$75)*(元データ!$AO$2:$AO$2001=0))</f>
        <v>14</v>
      </c>
      <c r="F76" s="57" t="s">
        <v>300</v>
      </c>
      <c r="G76" s="58" t="s">
        <v>301</v>
      </c>
      <c r="H76" s="57" t="s">
        <v>271</v>
      </c>
      <c r="I76" s="58" t="s">
        <v>302</v>
      </c>
      <c r="J76" s="57" t="s">
        <v>150</v>
      </c>
      <c r="K76" s="58" t="s">
        <v>150</v>
      </c>
      <c r="L76" s="64" t="s">
        <v>303</v>
      </c>
      <c r="M76" s="65" t="s">
        <v>304</v>
      </c>
      <c r="N76" s="61" t="s">
        <v>255</v>
      </c>
      <c r="O76" s="62" t="s">
        <v>305</v>
      </c>
      <c r="P76" s="63"/>
    </row>
    <row r="77" customFormat="false" ht="42" hidden="false" customHeight="true" outlineLevel="0" collapsed="false">
      <c r="B77" s="43"/>
      <c r="C77" s="44" t="s">
        <v>306</v>
      </c>
      <c r="D77" s="45" t="s">
        <v>138</v>
      </c>
      <c r="E77" s="46" t="n">
        <f aca="false">SUMPRODUCT((元データ!$AL$2:$AL$2001=1)*(元データ!$AN$2:$AN$2001=1)*(元データ!$AE$2:$AE$2001=$C$77)*(元データ!$AO$2:$AO$2001=1))</f>
        <v>1</v>
      </c>
      <c r="F77" s="47" t="s">
        <v>150</v>
      </c>
      <c r="G77" s="48" t="s">
        <v>150</v>
      </c>
      <c r="H77" s="47" t="s">
        <v>150</v>
      </c>
      <c r="I77" s="48" t="s">
        <v>150</v>
      </c>
      <c r="J77" s="49" t="s">
        <v>303</v>
      </c>
      <c r="K77" s="50" t="s">
        <v>307</v>
      </c>
      <c r="L77" s="47" t="s">
        <v>150</v>
      </c>
      <c r="M77" s="48" t="s">
        <v>150</v>
      </c>
      <c r="N77" s="47" t="s">
        <v>150</v>
      </c>
      <c r="O77" s="48" t="s">
        <v>150</v>
      </c>
    </row>
    <row r="78" customFormat="false" ht="42" hidden="false" customHeight="true" outlineLevel="0" collapsed="false">
      <c r="B78" s="43"/>
      <c r="C78" s="44"/>
      <c r="D78" s="55" t="s">
        <v>149</v>
      </c>
      <c r="E78" s="56" t="n">
        <f aca="false">SUMPRODUCT((元データ!$AL$2:$AL$2001=1)*(元データ!$AN$2:$AN$2001=1)*(元データ!$AE$2:$AE$2001=$C$77)*(元データ!$AO$2:$AO$2001=0))</f>
        <v>2</v>
      </c>
      <c r="F78" s="57" t="s">
        <v>150</v>
      </c>
      <c r="G78" s="58" t="s">
        <v>150</v>
      </c>
      <c r="H78" s="57" t="s">
        <v>150</v>
      </c>
      <c r="I78" s="58" t="s">
        <v>150</v>
      </c>
      <c r="J78" s="59" t="s">
        <v>303</v>
      </c>
      <c r="K78" s="60" t="s">
        <v>308</v>
      </c>
      <c r="L78" s="57" t="s">
        <v>150</v>
      </c>
      <c r="M78" s="58" t="s">
        <v>150</v>
      </c>
      <c r="N78" s="61" t="s">
        <v>224</v>
      </c>
      <c r="O78" s="62" t="s">
        <v>309</v>
      </c>
      <c r="P78" s="63"/>
    </row>
    <row r="79" customFormat="false" ht="42" hidden="false" customHeight="true" outlineLevel="0" collapsed="false">
      <c r="B79" s="43"/>
      <c r="C79" s="44" t="s">
        <v>310</v>
      </c>
      <c r="D79" s="45" t="s">
        <v>138</v>
      </c>
      <c r="E79" s="46" t="n">
        <f aca="false">SUMPRODUCT((元データ!$AL$2:$AL$2001=1)*(元データ!$AN$2:$AN$2001=1)*(元データ!$AE$2:$AE$2001=$C$79)*(元データ!$AO$2:$AO$2001=1))</f>
        <v>1</v>
      </c>
      <c r="F79" s="47" t="s">
        <v>150</v>
      </c>
      <c r="G79" s="48" t="s">
        <v>150</v>
      </c>
      <c r="H79" s="47" t="s">
        <v>150</v>
      </c>
      <c r="I79" s="48" t="s">
        <v>150</v>
      </c>
      <c r="J79" s="47" t="s">
        <v>150</v>
      </c>
      <c r="K79" s="48" t="s">
        <v>150</v>
      </c>
      <c r="L79" s="47" t="s">
        <v>150</v>
      </c>
      <c r="M79" s="48" t="s">
        <v>150</v>
      </c>
      <c r="N79" s="53" t="s">
        <v>233</v>
      </c>
      <c r="O79" s="54" t="s">
        <v>311</v>
      </c>
    </row>
    <row r="80" customFormat="false" ht="42" hidden="false" customHeight="true" outlineLevel="0" collapsed="false">
      <c r="B80" s="43"/>
      <c r="C80" s="44"/>
      <c r="D80" s="55" t="s">
        <v>149</v>
      </c>
      <c r="E80" s="56" t="n">
        <f aca="false">SUMPRODUCT((元データ!$AL$2:$AL$2001=1)*(元データ!$AN$2:$AN$2001=1)*(元データ!$AE$2:$AE$2001=$C$79)*(元データ!$AO$2:$AO$2001=0))</f>
        <v>0</v>
      </c>
      <c r="F80" s="57" t="s">
        <v>150</v>
      </c>
      <c r="G80" s="58" t="s">
        <v>150</v>
      </c>
      <c r="H80" s="57" t="s">
        <v>150</v>
      </c>
      <c r="I80" s="58" t="s">
        <v>150</v>
      </c>
      <c r="J80" s="57" t="s">
        <v>150</v>
      </c>
      <c r="K80" s="58" t="s">
        <v>150</v>
      </c>
      <c r="L80" s="57" t="s">
        <v>150</v>
      </c>
      <c r="M80" s="58" t="s">
        <v>150</v>
      </c>
      <c r="N80" s="57" t="s">
        <v>150</v>
      </c>
      <c r="O80" s="58" t="s">
        <v>150</v>
      </c>
      <c r="P80" s="63"/>
    </row>
    <row r="81" customFormat="false" ht="21.75" hidden="false" customHeight="true" outlineLevel="0" collapsed="false">
      <c r="B81" s="66"/>
      <c r="C81" s="37" t="s">
        <v>130</v>
      </c>
      <c r="D81" s="37"/>
      <c r="E81" s="38" t="n">
        <f aca="false">SUMPRODUCT((元データ!$AL$2:$AL$2001=1)*(元データ!$AN$2:$AN$2001=1))</f>
        <v>307</v>
      </c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</row>
    <row r="83" customFormat="false" ht="13.5" hidden="false" customHeight="true" outlineLevel="0" collapsed="false">
      <c r="B83" s="67" t="s">
        <v>312</v>
      </c>
    </row>
  </sheetData>
  <mergeCells count="76">
    <mergeCell ref="B2:M2"/>
    <mergeCell ref="N2:O2"/>
    <mergeCell ref="C5:O5"/>
    <mergeCell ref="C6:O6"/>
    <mergeCell ref="C7:O7"/>
    <mergeCell ref="C8:O8"/>
    <mergeCell ref="B9:E9"/>
    <mergeCell ref="B11:O11"/>
    <mergeCell ref="B12:O12"/>
    <mergeCell ref="B13:O13"/>
    <mergeCell ref="B14:O14"/>
    <mergeCell ref="B15:O15"/>
    <mergeCell ref="B16:O16"/>
    <mergeCell ref="B17:O17"/>
    <mergeCell ref="B20:E20"/>
    <mergeCell ref="F20:I20"/>
    <mergeCell ref="J20:M20"/>
    <mergeCell ref="B21:E21"/>
    <mergeCell ref="F21:I21"/>
    <mergeCell ref="J21:M21"/>
    <mergeCell ref="B33:B34"/>
    <mergeCell ref="C33:C34"/>
    <mergeCell ref="D33:D34"/>
    <mergeCell ref="E33:E34"/>
    <mergeCell ref="F33:G33"/>
    <mergeCell ref="H33:I33"/>
    <mergeCell ref="J33:K33"/>
    <mergeCell ref="L33:M33"/>
    <mergeCell ref="N33:O33"/>
    <mergeCell ref="B35:B36"/>
    <mergeCell ref="C35:C36"/>
    <mergeCell ref="B37:B38"/>
    <mergeCell ref="C37:C38"/>
    <mergeCell ref="B39:B40"/>
    <mergeCell ref="C39:C40"/>
    <mergeCell ref="B41:B42"/>
    <mergeCell ref="C41:C42"/>
    <mergeCell ref="B43:B44"/>
    <mergeCell ref="C43:C44"/>
    <mergeCell ref="B45:B46"/>
    <mergeCell ref="C45:C46"/>
    <mergeCell ref="B47:B48"/>
    <mergeCell ref="C47:C48"/>
    <mergeCell ref="B49:B50"/>
    <mergeCell ref="C49:C50"/>
    <mergeCell ref="B51:B52"/>
    <mergeCell ref="C51:C52"/>
    <mergeCell ref="B53:B54"/>
    <mergeCell ref="C53:C54"/>
    <mergeCell ref="B55:B56"/>
    <mergeCell ref="C55:C56"/>
    <mergeCell ref="B57:B58"/>
    <mergeCell ref="C57:C58"/>
    <mergeCell ref="B59:B60"/>
    <mergeCell ref="C59:C60"/>
    <mergeCell ref="B61:B62"/>
    <mergeCell ref="C61:C62"/>
    <mergeCell ref="B63:B64"/>
    <mergeCell ref="C63:C64"/>
    <mergeCell ref="B65:B66"/>
    <mergeCell ref="C65:C66"/>
    <mergeCell ref="B67:B68"/>
    <mergeCell ref="C67:C68"/>
    <mergeCell ref="B69:B70"/>
    <mergeCell ref="C69:C70"/>
    <mergeCell ref="B71:B72"/>
    <mergeCell ref="C71:C72"/>
    <mergeCell ref="B73:B74"/>
    <mergeCell ref="C73:C74"/>
    <mergeCell ref="B75:B76"/>
    <mergeCell ref="C75:C76"/>
    <mergeCell ref="B77:B78"/>
    <mergeCell ref="C77:C78"/>
    <mergeCell ref="B79:B80"/>
    <mergeCell ref="C79:C80"/>
    <mergeCell ref="C81:D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1" customFormat="false" ht="6" hidden="false" customHeight="true" outlineLevel="0" collapsed="false"/>
    <row r="2" customFormat="false" ht="30" hidden="false" customHeight="true" outlineLevel="0" collapsed="false">
      <c r="B2" s="68" t="s">
        <v>313</v>
      </c>
    </row>
    <row r="3" customFormat="false" ht="18" hidden="false" customHeight="true" outlineLevel="0" collapsed="false">
      <c r="B3" s="69" t="s">
        <v>314</v>
      </c>
    </row>
    <row r="4" customFormat="false" ht="18" hidden="false" customHeight="true" outlineLevel="0" collapsed="false">
      <c r="B4" s="69" t="s">
        <v>315</v>
      </c>
    </row>
    <row r="5" customFormat="false" ht="18" hidden="false" customHeight="true" outlineLevel="0" collapsed="false">
      <c r="B5" s="70" t="s">
        <v>316</v>
      </c>
    </row>
    <row r="6" customFormat="false" ht="18" hidden="false" customHeight="true" outlineLevel="0" collapsed="false">
      <c r="B6" s="69" t="s">
        <v>317</v>
      </c>
    </row>
    <row r="7" customFormat="false" ht="18" hidden="false" customHeight="true" outlineLevel="0" collapsed="false">
      <c r="B7" s="69" t="s">
        <v>318</v>
      </c>
    </row>
    <row r="8" customFormat="false" ht="18" hidden="false" customHeight="true" outlineLevel="0" collapsed="false">
      <c r="B8" s="71" t="s">
        <v>319</v>
      </c>
    </row>
    <row r="10" customFormat="false" ht="9.75" hidden="false" customHeight="true" outlineLevel="0" collapsed="false"/>
    <row r="11" customFormat="false" ht="15.75" hidden="false" customHeight="true" outlineLevel="0" collapsed="false">
      <c r="B11" s="72" t="s">
        <v>320</v>
      </c>
    </row>
    <row r="12" customFormat="false" ht="15.75" hidden="false" customHeight="true" outlineLevel="0" collapsed="false">
      <c r="B12" s="73" t="s">
        <v>321</v>
      </c>
    </row>
    <row r="13" customFormat="false" ht="15.75" hidden="false" customHeight="true" outlineLevel="0" collapsed="false">
      <c r="B13" s="73" t="s">
        <v>322</v>
      </c>
    </row>
    <row r="14" customFormat="false" ht="15.75" hidden="false" customHeight="true" outlineLevel="0" collapsed="false">
      <c r="B14" s="73" t="s">
        <v>323</v>
      </c>
    </row>
    <row r="15" customFormat="false" ht="15.75" hidden="false" customHeight="true" outlineLevel="0" collapsed="false">
      <c r="B15" s="73" t="s">
        <v>324</v>
      </c>
    </row>
    <row r="16" customFormat="false" ht="15.75" hidden="false" customHeight="true" outlineLevel="0" collapsed="false">
      <c r="B16" s="73" t="s">
        <v>325</v>
      </c>
    </row>
    <row r="17" customFormat="false" ht="15.75" hidden="false" customHeight="true" outlineLevel="0" collapsed="false">
      <c r="B17" s="73" t="s">
        <v>326</v>
      </c>
    </row>
    <row r="18" customFormat="false" ht="15.75" hidden="false" customHeight="true" outlineLevel="0" collapsed="false">
      <c r="B18" s="73" t="s">
        <v>327</v>
      </c>
    </row>
    <row r="19" customFormat="false" ht="15.75" hidden="false" customHeight="true" outlineLevel="0" collapsed="false">
      <c r="B19" s="73" t="s">
        <v>328</v>
      </c>
    </row>
    <row r="20" customFormat="false" ht="15.75" hidden="false" customHeight="true" outlineLevel="0" collapsed="false">
      <c r="B20" s="73" t="s">
        <v>329</v>
      </c>
    </row>
    <row r="21" customFormat="false" ht="15.75" hidden="false" customHeight="true" outlineLevel="0" collapsed="false">
      <c r="B21" s="73" t="s">
        <v>330</v>
      </c>
    </row>
    <row r="22" customFormat="false" ht="15.75" hidden="false" customHeight="true" outlineLevel="0" collapsed="false">
      <c r="B22" s="73" t="s">
        <v>331</v>
      </c>
    </row>
    <row r="23" customFormat="false" ht="15.75" hidden="false" customHeight="true" outlineLevel="0" collapsed="false">
      <c r="B23" s="73" t="s">
        <v>332</v>
      </c>
    </row>
    <row r="24" customFormat="false" ht="15.75" hidden="false" customHeight="true" outlineLevel="0" collapsed="false">
      <c r="B24" s="73" t="s">
        <v>333</v>
      </c>
    </row>
    <row r="25" customFormat="false" ht="15.75" hidden="false" customHeight="true" outlineLevel="0" collapsed="false">
      <c r="B25" s="73" t="s">
        <v>334</v>
      </c>
    </row>
    <row r="26" customFormat="false" ht="15.75" hidden="false" customHeight="true" outlineLevel="0" collapsed="false">
      <c r="B26" s="73" t="s">
        <v>335</v>
      </c>
    </row>
    <row r="27" customFormat="false" ht="15.75" hidden="false" customHeight="true" outlineLevel="0" collapsed="false">
      <c r="B27" s="73" t="s">
        <v>329</v>
      </c>
    </row>
    <row r="28" customFormat="false" ht="15.75" hidden="false" customHeight="true" outlineLevel="0" collapsed="false">
      <c r="B28" s="73" t="s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2026-09-25T01:47:29Z</dcterms:created>
  <dc:creator>openpyxl</dc:creator>
  <dc:description/>
  <dc:language>en-US</dc:language>
  <cp:lastModifiedBy/>
  <dcterms:modified xsi:type="dcterms:W3CDTF">2026-09-25T01:47:32Z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