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操作パネル" sheetId="1" state="visible" r:id="rId3"/>
    <sheet name="報告書" sheetId="2" state="visible" r:id="rId4"/>
    <sheet name="作業データ" sheetId="3" state="visible" r:id="rId5"/>
    <sheet name="詳細データ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<sst xmlns="http://schemas.openxmlformats.org/spreadsheetml/2006/main" count="267" uniqueCount="177">
  <si>
    <t xml:space="preserve">週次報告書　操作パネル</t>
  </si>
  <si>
    <t xml:space="preserve">①報告対象週の初日（月曜日）を入力 → ②データ取込ボタンを押す → ③提出用に整えるボタンで完成</t>
  </si>
  <si>
    <t xml:space="preserve">報告対象週　初日（月曜日）</t>
  </si>
  <si>
    <t xml:space="preserve">← 例：2026/5/11（月曜日を入力）</t>
  </si>
  <si>
    <t xml:space="preserve">【データソース凡例】</t>
  </si>
  <si>
    <t xml:space="preserve">　緑背景</t>
  </si>
  <si>
    <t xml:space="preserve">元データExcel（別ファイル）から取込</t>
  </si>
  <si>
    <t xml:space="preserve">　黄背景</t>
  </si>
  <si>
    <t xml:space="preserve">問合せ管理ツール（既存Excel）から取込</t>
  </si>
  <si>
    <t xml:space="preserve">　水色背景</t>
  </si>
  <si>
    <t xml:space="preserve">手入力欄</t>
  </si>
  <si>
    <t xml:space="preserve">【ボタン①】データ取込・報告書に反映</t>
  </si>
  <si>
    <t xml:space="preserve">【ボタン②】提出用に整える
（操作パネル・作業データ削除）</t>
  </si>
  <si>
    <r>
      <rPr>
        <b val="true"/>
        <sz val="10"/>
        <color rgb="FFFFFFFF"/>
        <rFont val="Noto Sans CJK SC"/>
        <family val="2"/>
      </rPr>
      <t xml:space="preserve">【転記設定テーブル】　起点セルから右（または下）に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日</t>
    </r>
    <r>
      <rPr>
        <b val="true"/>
        <sz val="10"/>
        <color rgb="FFFFFFFF"/>
        <rFont val="Arial"/>
        <family val="0"/>
        <charset val="1"/>
      </rPr>
      <t xml:space="preserve">×</t>
    </r>
    <r>
      <rPr>
        <b val="true"/>
        <sz val="10"/>
        <color rgb="FFFFFFFF"/>
        <rFont val="Noto Sans CJK SC"/>
        <family val="2"/>
      </rPr>
      <t xml:space="preserve">週数分を自動取込します</t>
    </r>
  </si>
  <si>
    <r>
      <rPr>
        <i val="true"/>
        <sz val="8"/>
        <color rgb="FF595959"/>
        <rFont val="Noto Sans CJK SC"/>
        <family val="2"/>
      </rPr>
      <t xml:space="preserve">方向：横＝起点セルから右へ読む／縦＝下へ読む　週数：</t>
    </r>
    <r>
      <rPr>
        <i val="true"/>
        <sz val="8"/>
        <color rgb="FF595959"/>
        <rFont val="Arial"/>
        <family val="0"/>
        <charset val="1"/>
      </rPr>
      <t xml:space="preserve">4</t>
    </r>
    <r>
      <rPr>
        <i val="true"/>
        <sz val="8"/>
        <color rgb="FF595959"/>
        <rFont val="Noto Sans CJK SC"/>
        <family val="2"/>
      </rPr>
      <t xml:space="preserve">＝</t>
    </r>
    <r>
      <rPr>
        <i val="true"/>
        <sz val="8"/>
        <color rgb="FF595959"/>
        <rFont val="Arial"/>
        <family val="0"/>
        <charset val="1"/>
      </rPr>
      <t xml:space="preserve">20</t>
    </r>
    <r>
      <rPr>
        <i val="true"/>
        <sz val="8"/>
        <color rgb="FF595959"/>
        <rFont val="Noto Sans CJK SC"/>
        <family val="2"/>
      </rPr>
      <t xml:space="preserve">セル、</t>
    </r>
    <r>
      <rPr>
        <i val="true"/>
        <sz val="8"/>
        <color rgb="FF595959"/>
        <rFont val="Arial"/>
        <family val="0"/>
        <charset val="1"/>
      </rPr>
      <t xml:space="preserve">1</t>
    </r>
    <r>
      <rPr>
        <i val="true"/>
        <sz val="8"/>
        <color rgb="FF595959"/>
        <rFont val="Noto Sans CJK SC"/>
        <family val="2"/>
      </rPr>
      <t xml:space="preserve">＝</t>
    </r>
    <r>
      <rPr>
        <i val="true"/>
        <sz val="8"/>
        <color rgb="FF595959"/>
        <rFont val="Arial"/>
        <family val="0"/>
        <charset val="1"/>
      </rPr>
      <t xml:space="preserve">5</t>
    </r>
    <r>
      <rPr>
        <i val="true"/>
        <sz val="8"/>
        <color rgb="FF595959"/>
        <rFont val="Noto Sans CJK SC"/>
        <family val="2"/>
      </rPr>
      <t xml:space="preserve">セル（対象週のみ）　キーワードは部分一致（</t>
    </r>
    <r>
      <rPr>
        <i val="true"/>
        <sz val="8"/>
        <color rgb="FF595959"/>
        <rFont val="Arial"/>
        <family val="0"/>
        <charset val="1"/>
      </rPr>
      <t xml:space="preserve">CCP→CCP</t>
    </r>
    <r>
      <rPr>
        <i val="true"/>
        <sz val="8"/>
        <color rgb="FF595959"/>
        <rFont val="Noto Sans CJK SC"/>
        <family val="2"/>
      </rPr>
      <t xml:space="preserve">分析ツール</t>
    </r>
    <r>
      <rPr>
        <i val="true"/>
        <sz val="8"/>
        <color rgb="FF595959"/>
        <rFont val="Arial"/>
        <family val="0"/>
        <charset val="1"/>
      </rPr>
      <t xml:space="preserve">ver0.09.xlsx</t>
    </r>
    <r>
      <rPr>
        <i val="true"/>
        <sz val="8"/>
        <color rgb="FF595959"/>
        <rFont val="Noto Sans CJK SC"/>
        <family val="2"/>
      </rPr>
      <t xml:space="preserve">にマッチ）</t>
    </r>
  </si>
  <si>
    <t xml:space="preserve">ファイル
キーワード</t>
  </si>
  <si>
    <t xml:space="preserve">シート名</t>
  </si>
  <si>
    <r>
      <rPr>
        <b val="true"/>
        <sz val="9"/>
        <color rgb="FFFFFFFF"/>
        <rFont val="Noto Sans CJK SC"/>
        <family val="2"/>
      </rPr>
      <t xml:space="preserve">起点セル
（最も左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上）</t>
    </r>
  </si>
  <si>
    <r>
      <rPr>
        <b val="true"/>
        <sz val="9"/>
        <color rgb="FFFFFFFF"/>
        <rFont val="Noto Sans CJK SC"/>
        <family val="2"/>
      </rPr>
      <t xml:space="preserve">方向
横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縦</t>
    </r>
  </si>
  <si>
    <r>
      <rPr>
        <b val="true"/>
        <sz val="9"/>
        <color rgb="FFFFFFFF"/>
        <rFont val="Noto Sans CJK SC"/>
        <family val="2"/>
      </rPr>
      <t xml:space="preserve">週数
</t>
    </r>
    <r>
      <rPr>
        <b val="true"/>
        <sz val="9"/>
        <color rgb="FFFFFFFF"/>
        <rFont val="Arial"/>
        <family val="0"/>
        <charset val="1"/>
      </rPr>
      <t xml:space="preserve">4/1</t>
    </r>
  </si>
  <si>
    <r>
      <rPr>
        <b val="true"/>
        <sz val="9"/>
        <color rgb="FFFFFFFF"/>
        <rFont val="Noto Sans CJK SC"/>
        <family val="2"/>
      </rPr>
      <t xml:space="preserve">転記先ラベル
（報告書</t>
    </r>
    <r>
      <rPr>
        <b val="true"/>
        <sz val="9"/>
        <color rgb="FFFFFFFF"/>
        <rFont val="Arial"/>
        <family val="0"/>
        <charset val="1"/>
      </rPr>
      <t xml:space="preserve">A</t>
    </r>
    <r>
      <rPr>
        <b val="true"/>
        <sz val="9"/>
        <color rgb="FFFFFFFF"/>
        <rFont val="Noto Sans CJK SC"/>
        <family val="2"/>
      </rPr>
      <t xml:space="preserve">列と一致）</t>
    </r>
  </si>
  <si>
    <t xml:space="preserve">備考</t>
  </si>
  <si>
    <t xml:space="preserve">CCP</t>
  </si>
  <si>
    <t xml:space="preserve">新規履歴件数</t>
  </si>
  <si>
    <t xml:space="preserve">B3</t>
  </si>
  <si>
    <t xml:space="preserve">横</t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</si>
  <si>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×4</t>
    </r>
    <r>
      <rPr>
        <sz val="9"/>
        <color rgb="FF000000"/>
        <rFont val="Noto Sans CJK SC"/>
        <family val="2"/>
      </rPr>
      <t xml:space="preserve">週</t>
    </r>
  </si>
  <si>
    <r>
      <rPr>
        <sz val="9"/>
        <color rgb="FF000000"/>
        <rFont val="Noto Sans CJK SC"/>
        <family val="2"/>
      </rPr>
      <t xml:space="preserve">カテゴリー別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週比較</t>
    </r>
    <r>
      <rPr>
        <sz val="9"/>
        <color rgb="FF000000"/>
        <rFont val="Arial"/>
        <family val="0"/>
        <charset val="1"/>
      </rPr>
      <t xml:space="preserve">)</t>
    </r>
  </si>
  <si>
    <t xml:space="preserve">B2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</si>
  <si>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今週</t>
    </r>
  </si>
  <si>
    <t xml:space="preserve">今週列のみ</t>
  </si>
  <si>
    <t xml:space="preserve">C2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</si>
  <si>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先週</t>
    </r>
  </si>
  <si>
    <t xml:space="preserve">先週列のみ</t>
  </si>
  <si>
    <t xml:space="preserve">問い合わせの多い区局</t>
  </si>
  <si>
    <r>
      <rPr>
        <sz val="9"/>
        <color rgb="FF000000"/>
        <rFont val="Noto Sans CJK SC"/>
        <family val="2"/>
      </rPr>
      <t xml:space="preserve">⑦区局別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件数</t>
    </r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</si>
  <si>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×1</t>
    </r>
    <r>
      <rPr>
        <sz val="9"/>
        <color rgb="FF000000"/>
        <rFont val="Noto Sans CJK SC"/>
        <family val="2"/>
      </rPr>
      <t xml:space="preserve">週</t>
    </r>
  </si>
  <si>
    <t xml:space="preserve">タカコム</t>
  </si>
  <si>
    <t xml:space="preserve">（シート名）</t>
  </si>
  <si>
    <t xml:space="preserve">（起点セル）</t>
  </si>
  <si>
    <t xml:space="preserve">①入電件数</t>
  </si>
  <si>
    <t xml:space="preserve">要確認</t>
  </si>
  <si>
    <t xml:space="preserve">　②放棄呼数</t>
  </si>
  <si>
    <t xml:space="preserve">　③受電件数</t>
  </si>
  <si>
    <t xml:space="preserve">④発信件数</t>
  </si>
  <si>
    <t xml:space="preserve">最大回線占有数</t>
  </si>
  <si>
    <t xml:space="preserve">対象週のみ・要確認</t>
  </si>
  <si>
    <r>
      <rPr>
        <sz val="9"/>
        <color rgb="FF595959"/>
        <rFont val="Noto Sans CJK SC"/>
        <family val="2"/>
      </rPr>
      <t xml:space="preserve">⑥時間帯別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月〜金</t>
    </r>
  </si>
  <si>
    <r>
      <rPr>
        <i val="true"/>
        <sz val="8"/>
        <color rgb="FF595959"/>
        <rFont val="Noto Sans CJK SC"/>
        <family val="2"/>
      </rPr>
      <t xml:space="preserve">※ 空白行は無視。転記先ラベルは報告書シート</t>
    </r>
    <r>
      <rPr>
        <i val="true"/>
        <sz val="8"/>
        <color rgb="FF595959"/>
        <rFont val="Arial"/>
        <family val="0"/>
        <charset val="1"/>
      </rPr>
      <t xml:space="preserve">A</t>
    </r>
    <r>
      <rPr>
        <i val="true"/>
        <sz val="8"/>
        <color rgb="FF595959"/>
        <rFont val="Noto Sans CJK SC"/>
        <family val="2"/>
      </rPr>
      <t xml:space="preserve">列の文字と一致させてください。</t>
    </r>
  </si>
  <si>
    <t xml:space="preserve">横浜市総務事務センター　ヘルプデスク運用に関する週次報告書</t>
  </si>
  <si>
    <t xml:space="preserve">報告対象週</t>
  </si>
  <si>
    <t xml:space="preserve">　← 操作パネルで日付を入力後、ボタンを押すと自動設定されます</t>
  </si>
  <si>
    <t xml:space="preserve">その他特記事項</t>
  </si>
  <si>
    <t xml:space="preserve">③ 対応状況サマリ（報告対象週）</t>
  </si>
  <si>
    <t xml:space="preserve">全体対応件数</t>
  </si>
  <si>
    <t xml:space="preserve">入電件数</t>
  </si>
  <si>
    <t xml:space="preserve">発信件数</t>
  </si>
  <si>
    <t xml:space="preserve">放棄呼数</t>
  </si>
  <si>
    <t xml:space="preserve">呼損率</t>
  </si>
  <si>
    <t xml:space="preserve">先週比：（VBAで設定）</t>
  </si>
  <si>
    <t xml:space="preserve">稼働日平均受電件数（今週）</t>
  </si>
  <si>
    <t xml:space="preserve">第一段階　総対応件数</t>
  </si>
  <si>
    <t xml:space="preserve">第二段階　総対応件数</t>
  </si>
  <si>
    <t xml:space="preserve">主な問い合わせ内容（第一段階）</t>
  </si>
  <si>
    <t xml:space="preserve">最多カテゴリ（自動）</t>
  </si>
  <si>
    <t xml:space="preserve">その他</t>
  </si>
  <si>
    <t xml:space="preserve">今週：1件</t>
  </si>
  <si>
    <t xml:space="preserve">先週比：▼1件</t>
  </si>
  <si>
    <t xml:space="preserve">傾向・コメント</t>
  </si>
  <si>
    <t xml:space="preserve">主な問い合わせ内容（第二段階）</t>
  </si>
  <si>
    <t xml:space="preserve">（データなし）</t>
  </si>
  <si>
    <t xml:space="preserve">今週：0件</t>
  </si>
  <si>
    <t xml:space="preserve">先週比：▲0件</t>
  </si>
  <si>
    <t xml:space="preserve">① 対応状況</t>
  </si>
  <si>
    <t xml:space="preserve">区分</t>
  </si>
  <si>
    <t xml:space="preserve">合計</t>
  </si>
  <si>
    <t xml:space="preserve">割合</t>
  </si>
  <si>
    <t xml:space="preserve">　（参考）呼損率</t>
  </si>
  <si>
    <t xml:space="preserve">—</t>
  </si>
  <si>
    <t xml:space="preserve">⑤全体対応件数</t>
  </si>
  <si>
    <t xml:space="preserve">※入電件数は実際に電話があった件数を計上。祝日等は0表示。　緑背景：元データExcelから取込　黄背景：問合せ管理ツールから取込</t>
  </si>
  <si>
    <t xml:space="preserve">② カテゴリ別詳細（入電状況一覧）</t>
  </si>
  <si>
    <t xml:space="preserve">大分類</t>
  </si>
  <si>
    <t xml:space="preserve">小分類</t>
  </si>
  <si>
    <t xml:space="preserve">決裁基盤</t>
  </si>
  <si>
    <t xml:space="preserve">決裁</t>
  </si>
  <si>
    <t xml:space="preserve">基本ルート・回議ルート</t>
  </si>
  <si>
    <t xml:space="preserve">代行者・経理担当者</t>
  </si>
  <si>
    <t xml:space="preserve">勤務状況</t>
  </si>
  <si>
    <t xml:space="preserve">出勤簿</t>
  </si>
  <si>
    <t xml:space="preserve">休暇等の状況</t>
  </si>
  <si>
    <t xml:space="preserve">勤務実績（集計表・報告書）</t>
  </si>
  <si>
    <t xml:space="preserve">勤務予定</t>
  </si>
  <si>
    <t xml:space="preserve">メンバー設定</t>
  </si>
  <si>
    <t xml:space="preserve">休暇・超勤</t>
  </si>
  <si>
    <t xml:space="preserve">休暇</t>
  </si>
  <si>
    <t xml:space="preserve">職免</t>
  </si>
  <si>
    <t xml:space="preserve">振休</t>
  </si>
  <si>
    <t xml:space="preserve">超勤</t>
  </si>
  <si>
    <t xml:space="preserve">旅費申請</t>
  </si>
  <si>
    <t xml:space="preserve">旅費審査</t>
  </si>
  <si>
    <t xml:space="preserve">旅費請求</t>
  </si>
  <si>
    <t xml:space="preserve">出張命令</t>
  </si>
  <si>
    <t xml:space="preserve">定期券登録・精算</t>
  </si>
  <si>
    <t xml:space="preserve">文書閲覧</t>
  </si>
  <si>
    <t xml:space="preserve">簿冊</t>
  </si>
  <si>
    <t xml:space="preserve">職員</t>
  </si>
  <si>
    <t xml:space="preserve">職員情報</t>
  </si>
  <si>
    <t xml:space="preserve">締め処理</t>
  </si>
  <si>
    <t xml:space="preserve">締め処理解除</t>
  </si>
  <si>
    <t xml:space="preserve">第一段階</t>
  </si>
  <si>
    <t xml:space="preserve">給与手当</t>
  </si>
  <si>
    <t xml:space="preserve">給与口座振替の届出</t>
  </si>
  <si>
    <t xml:space="preserve">児童手当　認定請求</t>
  </si>
  <si>
    <t xml:space="preserve">児童手当　額改定・消滅</t>
  </si>
  <si>
    <t xml:space="preserve">児童手当　現況届</t>
  </si>
  <si>
    <t xml:space="preserve">住居届</t>
  </si>
  <si>
    <t xml:space="preserve">通勤届</t>
  </si>
  <si>
    <t xml:space="preserve">扶養親族等異動届</t>
  </si>
  <si>
    <t xml:space="preserve">給与手当　権限設定</t>
  </si>
  <si>
    <t xml:space="preserve">年末調整　扶養状況等確認</t>
  </si>
  <si>
    <t xml:space="preserve">年末調整　保険料等控除申告</t>
  </si>
  <si>
    <t xml:space="preserve">年末調整　扶養控除等異動申告</t>
  </si>
  <si>
    <t xml:space="preserve">年末調整　権限設定</t>
  </si>
  <si>
    <t xml:space="preserve">福利厚生</t>
  </si>
  <si>
    <t xml:space="preserve">被服貸与</t>
  </si>
  <si>
    <t xml:space="preserve">財形貯蓄</t>
  </si>
  <si>
    <t xml:space="preserve">第二段階</t>
  </si>
  <si>
    <t xml:space="preserve">総務事務センター</t>
  </si>
  <si>
    <t xml:space="preserve">非常勤</t>
  </si>
  <si>
    <t xml:space="preserve">社保取得・喪失</t>
  </si>
  <si>
    <t xml:space="preserve">被扶養者取得・喪失</t>
  </si>
  <si>
    <t xml:space="preserve">雇保取得・喪失</t>
  </si>
  <si>
    <t xml:space="preserve">税控除</t>
  </si>
  <si>
    <t xml:space="preserve">住民税</t>
  </si>
  <si>
    <t xml:space="preserve">個人番号</t>
  </si>
  <si>
    <t xml:space="preserve">年末調整</t>
  </si>
  <si>
    <t xml:space="preserve">計（件）</t>
  </si>
  <si>
    <t xml:space="preserve">100%</t>
  </si>
  <si>
    <t xml:space="preserve">このシートはVBAで自動削除されます（円グラフ用データ）</t>
  </si>
  <si>
    <t xml:space="preserve">第4週合計</t>
  </si>
  <si>
    <t xml:space="preserve">④ 放棄呼</t>
  </si>
  <si>
    <t xml:space="preserve">※ 元データExcelから取込（緑背景）</t>
  </si>
  <si>
    <t xml:space="preserve">日付</t>
  </si>
  <si>
    <t xml:space="preserve">件数</t>
  </si>
  <si>
    <t xml:space="preserve">時間帯</t>
  </si>
  <si>
    <t xml:space="preserve">時間</t>
  </si>
  <si>
    <t xml:space="preserve">待ち時間(秒)</t>
  </si>
  <si>
    <t xml:space="preserve">第4週（月）</t>
  </si>
  <si>
    <t xml:space="preserve">第4週（火）</t>
  </si>
  <si>
    <t xml:space="preserve">第4週（水）</t>
  </si>
  <si>
    <t xml:space="preserve">第4週（木）</t>
  </si>
  <si>
    <t xml:space="preserve">第4週（金）</t>
  </si>
  <si>
    <t xml:space="preserve">⑤ カテゴリ別（週比較）</t>
  </si>
  <si>
    <t xml:space="preserve">※ 問合せ管理ツール（既存Excel）から取込（黄背景）</t>
  </si>
  <si>
    <t xml:space="preserve">カテゴリ</t>
  </si>
  <si>
    <t xml:space="preserve">今週（件）</t>
  </si>
  <si>
    <t xml:space="preserve">先週（件）</t>
  </si>
  <si>
    <t xml:space="preserve">差分</t>
  </si>
  <si>
    <t xml:space="preserve">増減</t>
  </si>
  <si>
    <t xml:space="preserve">出張・旅費</t>
  </si>
  <si>
    <t xml:space="preserve">総数</t>
  </si>
  <si>
    <t xml:space="preserve">⑥ 時間帯別対応件数</t>
  </si>
  <si>
    <t xml:space="preserve">割合（％）</t>
  </si>
  <si>
    <t xml:space="preserve">08:30-09:00*</t>
  </si>
  <si>
    <t xml:space="preserve">09:00-10:00</t>
  </si>
  <si>
    <t xml:space="preserve">10:00-11:00</t>
  </si>
  <si>
    <t xml:space="preserve">11:00-12:00</t>
  </si>
  <si>
    <t xml:space="preserve">12:00-13:00</t>
  </si>
  <si>
    <t xml:space="preserve">13:00-14:00</t>
  </si>
  <si>
    <t xml:space="preserve">14:00-15:00</t>
  </si>
  <si>
    <t xml:space="preserve">15:00-16:00</t>
  </si>
  <si>
    <t xml:space="preserve">16:00-17:00</t>
  </si>
  <si>
    <t xml:space="preserve">17:00-17:30*</t>
  </si>
  <si>
    <t xml:space="preserve">⑦ 問い合わせ件数の多い区局</t>
  </si>
  <si>
    <t xml:space="preserve">順位</t>
  </si>
  <si>
    <t xml:space="preserve">区局名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</si>
</sst>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/m/d\(AAA\)"/>
    <numFmt numFmtId="166" formatCode="0"/>
    <numFmt numFmtId="167" formatCode="0.0%"/>
    <numFmt numFmtId="168" formatCode="0.0"/>
    <numFmt numFmtId="169" formatCode="General"/>
    <numFmt numFmtId="170" formatCode="m/d\(AAA\)"/>
    <numFmt numFmtId="171" formatCode="\+0;\-0;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11"/>
      <color rgb="FF7F6000"/>
      <name val="Arial"/>
      <family val="0"/>
      <charset val="1"/>
    </font>
    <font>
      <b val="true"/>
      <sz val="9"/>
      <color rgb="FF000000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i val="true"/>
      <sz val="8"/>
      <color rgb="FF595959"/>
      <name val="Noto Sans CJK SC"/>
      <family val="2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sz val="9"/>
      <color rgb="FF595959"/>
      <name val="Noto Sans CJK SC"/>
      <family val="2"/>
    </font>
    <font>
      <i val="true"/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2"/>
      <color rgb="FFFFFFFF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1F497D"/>
      <name val="Arial"/>
      <family val="0"/>
      <charset val="1"/>
    </font>
    <font>
      <sz val="9"/>
      <color rgb="FF595959"/>
      <name val="Noto Sans CJK SC"/>
      <family val="2"/>
      <charset val="1"/>
    </font>
    <font>
      <b val="true"/>
      <sz val="18"/>
      <color rgb="FF1F497D"/>
      <name val="Arial"/>
      <family val="0"/>
      <charset val="1"/>
    </font>
    <font>
      <b val="true"/>
      <sz val="18"/>
      <color rgb="FF274E13"/>
      <name val="Arial"/>
      <family val="0"/>
      <charset val="1"/>
    </font>
    <font>
      <b val="true"/>
      <sz val="18"/>
      <color rgb="FF4A235B"/>
      <name val="Arial"/>
      <family val="0"/>
      <charset val="1"/>
    </font>
    <font>
      <b val="true"/>
      <sz val="18"/>
      <color rgb="FF7F0000"/>
      <name val="Arial"/>
      <family val="0"/>
      <charset val="1"/>
    </font>
    <font>
      <sz val="8"/>
      <color rgb="FF595959"/>
      <name val="Noto Sans CJK SC"/>
      <family val="2"/>
      <charset val="1"/>
    </font>
    <font>
      <b val="true"/>
      <sz val="16"/>
      <color rgb="FF185FA5"/>
      <name val="Arial"/>
      <family val="0"/>
      <charset val="1"/>
    </font>
    <font>
      <b val="true"/>
      <sz val="16"/>
      <color rgb="FF274E13"/>
      <name val="Arial"/>
      <family val="0"/>
      <charset val="1"/>
    </font>
    <font>
      <b val="true"/>
      <sz val="16"/>
      <color rgb="FF4A235B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9"/>
      <color rgb="FF185FA5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b val="true"/>
      <sz val="8"/>
      <color rgb="FF1F497D"/>
      <name val="Noto Sans CJK SC"/>
      <family val="2"/>
      <charset val="1"/>
    </font>
    <font>
      <b val="true"/>
      <sz val="9"/>
      <color rgb="FF274E13"/>
      <name val="Noto Sans CJK SC"/>
      <family val="2"/>
      <charset val="1"/>
    </font>
    <font>
      <b val="true"/>
      <sz val="8"/>
      <color rgb="FFFFFFFF"/>
      <name val="Arial"/>
      <family val="0"/>
      <charset val="1"/>
    </font>
    <font>
      <sz val="9"/>
      <color rgb="FF274E13"/>
      <name val="Noto Sans CJK SC"/>
      <family val="2"/>
      <charset val="1"/>
    </font>
    <font>
      <sz val="9"/>
      <color rgb="FF274E13"/>
      <name val="Arial"/>
      <family val="0"/>
      <charset val="1"/>
    </font>
    <font>
      <b val="true"/>
      <sz val="9"/>
      <color rgb="FF274E13"/>
      <name val="Arial"/>
      <family val="0"/>
      <charset val="1"/>
    </font>
    <font>
      <sz val="9"/>
      <color rgb="FF7F6000"/>
      <name val="Noto Sans CJK SC"/>
      <family val="2"/>
      <charset val="1"/>
    </font>
    <font>
      <sz val="9"/>
      <color rgb="FF7F6000"/>
      <name val="Arial"/>
      <family val="0"/>
      <charset val="1"/>
    </font>
    <font>
      <i val="true"/>
      <sz val="8"/>
      <color rgb="FF595959"/>
      <name val="Noto Sans CJK SC"/>
      <family val="2"/>
      <charset val="1"/>
    </font>
    <font>
      <sz val="11"/>
      <color theme="1"/>
      <name val="Noto Sans CJK SC"/>
      <family val="2"/>
      <charset val="1"/>
    </font>
    <font>
      <b val="true"/>
      <sz val="9"/>
      <color rgb="FF7F6000"/>
      <name val="Noto Sans CJK SC"/>
      <family val="2"/>
      <charset val="1"/>
    </font>
    <font>
      <b val="true"/>
      <sz val="9"/>
      <color rgb="FF7F6000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497D"/>
        <bgColor rgb="FF185FA5"/>
      </patternFill>
    </fill>
    <fill>
      <patternFill patternType="solid">
        <fgColor rgb="FFF2F2F2"/>
        <bgColor rgb="FFEAF3FB"/>
      </patternFill>
    </fill>
    <fill>
      <patternFill patternType="solid">
        <fgColor rgb="FFFFF2CC"/>
        <bgColor rgb="FFFCEBD5"/>
      </patternFill>
    </fill>
    <fill>
      <patternFill patternType="solid">
        <fgColor rgb="FFD9EAD3"/>
        <bgColor rgb="FFD9D9D9"/>
      </patternFill>
    </fill>
    <fill>
      <patternFill patternType="solid">
        <fgColor rgb="FFEAF3FB"/>
        <bgColor rgb="FFE6F1FB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9F9F9"/>
      </patternFill>
    </fill>
    <fill>
      <patternFill patternType="solid">
        <fgColor rgb="FFDDEEFF"/>
        <bgColor rgb="FFE6F1FB"/>
      </patternFill>
    </fill>
    <fill>
      <patternFill patternType="solid">
        <fgColor rgb="FFEAD1DC"/>
        <bgColor rgb="FFD9D9D9"/>
      </patternFill>
    </fill>
    <fill>
      <patternFill patternType="solid">
        <fgColor rgb="FFFFDDC1"/>
        <bgColor rgb="FFFCEBD5"/>
      </patternFill>
    </fill>
    <fill>
      <patternFill patternType="solid">
        <fgColor rgb="FFFCEBD5"/>
        <bgColor rgb="FFFFF2CC"/>
      </patternFill>
    </fill>
    <fill>
      <patternFill patternType="solid">
        <fgColor rgb="FFE6F1FB"/>
        <bgColor rgb="FFEAF3FB"/>
      </patternFill>
    </fill>
    <fill>
      <patternFill patternType="solid">
        <fgColor rgb="FFF0F7FF"/>
        <bgColor rgb="FFEAF3FB"/>
      </patternFill>
    </fill>
    <fill>
      <patternFill patternType="solid">
        <fgColor rgb="FFF9F9F9"/>
        <bgColor rgb="FFF0F7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185FA5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2E75B6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4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2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4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7" fontId="42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3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9F9F9"/>
      <rgbColor rgb="FFFF00FF"/>
      <rgbColor rgb="FF00FFFF"/>
      <rgbColor rgb="FF7F0000"/>
      <rgbColor rgb="FF008000"/>
      <rgbColor rgb="FF000080"/>
      <rgbColor rgb="FF7F6000"/>
      <rgbColor rgb="FF800080"/>
      <rgbColor rgb="FF416A9C"/>
      <rgbColor rgb="FFAABAD7"/>
      <rgbColor rgb="FF809B49"/>
      <rgbColor rgb="FF9999FF"/>
      <rgbColor rgb="FF9F423F"/>
      <rgbColor rgb="FFFFF2CC"/>
      <rgbColor rgb="FFDDEEFF"/>
      <rgbColor rgb="FF660066"/>
      <rgbColor rgb="FFCC7C3A"/>
      <rgbColor rgb="FF185FA5"/>
      <rgbColor rgb="FFD9D9D9"/>
      <rgbColor rgb="FF000080"/>
      <rgbColor rgb="FFFF00FF"/>
      <rgbColor rgb="FFF0F7FF"/>
      <rgbColor rgb="FF00FFFF"/>
      <rgbColor rgb="FF800080"/>
      <rgbColor rgb="FF800000"/>
      <rgbColor rgb="FF4F81BD"/>
      <rgbColor rgb="FF0000FF"/>
      <rgbColor rgb="FF00CCFF"/>
      <rgbColor rgb="FFE6F1FB"/>
      <rgbColor rgb="FFD9EAD3"/>
      <rgbColor rgb="FFFCEBD5"/>
      <rgbColor rgb="FFEAF3FB"/>
      <rgbColor rgb="FFEAD1DC"/>
      <rgbColor rgb="FFF2F2F2"/>
      <rgbColor rgb="FFFFDDC1"/>
      <rgbColor rgb="FF2E75B6"/>
      <rgbColor rgb="FF4BACC6"/>
      <rgbColor rgb="FF9BBB59"/>
      <rgbColor rgb="FFFFCC00"/>
      <rgbColor rgb="FFF79646"/>
      <rgbColor rgb="FFBF9000"/>
      <rgbColor rgb="FF8064A2"/>
      <rgbColor rgb="FFAAAAAA"/>
      <rgbColor rgb="FF6A5286"/>
      <rgbColor rgb="FF3E8EA4"/>
      <rgbColor rgb="FF003300"/>
      <rgbColor rgb="FF274E13"/>
      <rgbColor rgb="FF595959"/>
      <rgbColor rgb="FFC0504D"/>
      <rgbColor rgb="FF1F497D"/>
      <rgbColor rgb="FF4A23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カテゴリ別割合（報告対象週）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作業データ!B2</c:f>
              <c:strCache>
                <c:ptCount val="1"/>
                <c:pt idx="0">
                  <c:v>第4週合計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作業データ!$A$3:$A$15</c:f>
              <c:strCache>
                <c:ptCount val="13"/>
                <c:pt idx="0">
                  <c:v>決裁基盤</c:v>
                </c:pt>
                <c:pt idx="1">
                  <c:v>勤務状況</c:v>
                </c:pt>
                <c:pt idx="2">
                  <c:v>休暇・超勤</c:v>
                </c:pt>
                <c:pt idx="3">
                  <c:v>旅費申請</c:v>
                </c:pt>
                <c:pt idx="4">
                  <c:v>文書閲覧</c:v>
                </c:pt>
                <c:pt idx="5">
                  <c:v>職員</c:v>
                </c:pt>
                <c:pt idx="6">
                  <c:v>締め処理</c:v>
                </c:pt>
                <c:pt idx="7">
                  <c:v>第一段階</c:v>
                </c:pt>
                <c:pt idx="8">
                  <c:v>給与手当</c:v>
                </c:pt>
                <c:pt idx="9">
                  <c:v>福利厚生</c:v>
                </c:pt>
                <c:pt idx="10">
                  <c:v>第二段階</c:v>
                </c:pt>
                <c:pt idx="11">
                  <c:v>その他</c:v>
                </c:pt>
                <c:pt idx="12">
                  <c:v>非常勤</c:v>
                </c:pt>
              </c:strCache>
            </c:strRef>
          </c:cat>
          <c:val>
            <c:numRef>
              <c:f>作業データ!$B$3:$B$15</c:f>
              <c:numCache>
                <c:formatCode>General</c:formatCode>
                <c:ptCount val="13"/>
                <c:pt idx="0">
                  <c:v>4</c:v>
                </c:pt>
                <c:pt idx="1">
                  <c:v>13</c:v>
                </c:pt>
                <c:pt idx="2">
                  <c:v>12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47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12</xdr:row>
      <xdr:rowOff>0</xdr:rowOff>
    </xdr:from>
    <xdr:to>
      <xdr:col>12</xdr:col>
      <xdr:colOff>198360</xdr:colOff>
      <xdr:row>33</xdr:row>
      <xdr:rowOff>61200</xdr:rowOff>
    </xdr:to>
    <xdr:graphicFrame>
      <xdr:nvGraphicFramePr>
        <xdr:cNvPr id="0" name="Chart 1"/>
        <xdr:cNvGraphicFramePr/>
      </xdr:nvGraphicFramePr>
      <xdr:xfrm>
        <a:off x="5638680" y="2457360"/>
        <a:ext cx="5038920" cy="43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4"/>
    <col collapsed="false" customWidth="true" hidden="false" outlineLevel="0" max="5" min="4" style="1" width="10"/>
    <col collapsed="false" customWidth="true" hidden="false" outlineLevel="0" max="7" min="6" style="1" width="6"/>
    <col collapsed="false" customWidth="true" hidden="false" outlineLevel="0" max="8" min="8" style="1" width="12"/>
  </cols>
  <sheetData>
    <row r="1" customFormat="false" ht="31.5" hidden="false" customHeight="true" outlineLevel="0" collapsed="false">
      <c r="B1" s="2" t="s">
        <v>0</v>
      </c>
      <c r="C1" s="2"/>
      <c r="D1" s="2"/>
      <c r="E1" s="2"/>
    </row>
    <row r="2" customFormat="false" ht="18" hidden="false" customHeight="true" outlineLevel="0" collapsed="false">
      <c r="B2" s="3" t="s">
        <v>1</v>
      </c>
      <c r="C2" s="3"/>
      <c r="D2" s="3"/>
      <c r="E2" s="3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2</v>
      </c>
      <c r="C4" s="5"/>
      <c r="D4" s="6" t="s">
        <v>3</v>
      </c>
    </row>
    <row r="5" customFormat="false" ht="9.75" hidden="false" customHeight="true" outlineLevel="0" collapsed="false"/>
    <row r="6" customFormat="false" ht="18" hidden="false" customHeight="true" outlineLevel="0" collapsed="false">
      <c r="B6" s="7" t="s">
        <v>4</v>
      </c>
    </row>
    <row r="7" customFormat="false" ht="15.75" hidden="false" customHeight="true" outlineLevel="0" collapsed="false">
      <c r="B7" s="8" t="s">
        <v>5</v>
      </c>
      <c r="C7" s="9" t="s">
        <v>6</v>
      </c>
    </row>
    <row r="8" customFormat="false" ht="15.75" hidden="false" customHeight="true" outlineLevel="0" collapsed="false">
      <c r="B8" s="10" t="s">
        <v>7</v>
      </c>
      <c r="C8" s="9" t="s">
        <v>8</v>
      </c>
    </row>
    <row r="9" customFormat="false" ht="15.75" hidden="false" customHeight="true" outlineLevel="0" collapsed="false">
      <c r="B9" s="11" t="s">
        <v>9</v>
      </c>
      <c r="C9" s="9" t="s">
        <v>10</v>
      </c>
    </row>
    <row r="10" customFormat="false" ht="9.75" hidden="false" customHeight="true" outlineLevel="0" collapsed="false"/>
    <row r="11" customFormat="false" ht="19.5" hidden="false" customHeight="true" outlineLevel="0" collapsed="false">
      <c r="B11" s="12" t="s">
        <v>11</v>
      </c>
      <c r="C11" s="12"/>
      <c r="D11" s="13" t="s">
        <v>12</v>
      </c>
      <c r="E11" s="13"/>
    </row>
    <row r="12" customFormat="false" ht="19.5" hidden="false" customHeight="true" outlineLevel="0" collapsed="false">
      <c r="B12" s="12"/>
      <c r="C12" s="12"/>
      <c r="D12" s="13"/>
      <c r="E12" s="13"/>
    </row>
    <row r="15" customFormat="false" ht="15" hidden="false" customHeight="true" outlineLevel="0" collapsed="false">
      <c r="B15" s="14"/>
      <c r="C15" s="14"/>
      <c r="D15" s="14"/>
      <c r="E15" s="14"/>
      <c r="F15" s="14"/>
      <c r="G15" s="14"/>
      <c r="H15" s="14"/>
      <c r="I15" s="14"/>
    </row>
    <row r="16" customFormat="false" ht="9.75" hidden="false" customHeight="true" outlineLevel="0" collapsed="false">
      <c r="B16" s="15"/>
      <c r="C16" s="14"/>
      <c r="D16" s="14"/>
      <c r="E16" s="14"/>
      <c r="F16" s="14"/>
      <c r="G16" s="14"/>
      <c r="H16" s="14"/>
      <c r="I16" s="14"/>
    </row>
    <row r="17" customFormat="false" ht="19.5" hidden="false" customHeight="true" outlineLevel="0" collapsed="false">
      <c r="B17" s="16" t="s">
        <v>13</v>
      </c>
      <c r="C17" s="16"/>
      <c r="D17" s="16"/>
      <c r="E17" s="16"/>
      <c r="F17" s="16"/>
      <c r="G17" s="16"/>
      <c r="H17" s="16"/>
      <c r="I17" s="14"/>
    </row>
    <row r="18" customFormat="false" ht="24" hidden="false" customHeight="true" outlineLevel="0" collapsed="false">
      <c r="B18" s="17" t="s">
        <v>14</v>
      </c>
      <c r="C18" s="17"/>
      <c r="D18" s="17"/>
      <c r="E18" s="17"/>
      <c r="F18" s="17"/>
      <c r="G18" s="17"/>
      <c r="H18" s="17"/>
      <c r="I18" s="14"/>
    </row>
    <row r="19" customFormat="false" ht="31.5" hidden="false" customHeight="true" outlineLevel="0" collapsed="false">
      <c r="B19" s="18" t="s">
        <v>15</v>
      </c>
      <c r="C19" s="18" t="s">
        <v>16</v>
      </c>
      <c r="D19" s="18" t="s">
        <v>17</v>
      </c>
      <c r="E19" s="18" t="s">
        <v>18</v>
      </c>
      <c r="F19" s="18" t="s">
        <v>19</v>
      </c>
      <c r="G19" s="18" t="s">
        <v>20</v>
      </c>
      <c r="H19" s="18" t="s">
        <v>21</v>
      </c>
      <c r="I19" s="14"/>
    </row>
    <row r="20" customFormat="false" ht="15.75" hidden="false" customHeight="true" outlineLevel="0" collapsed="false">
      <c r="B20" s="19" t="s">
        <v>22</v>
      </c>
      <c r="C20" s="20" t="s">
        <v>23</v>
      </c>
      <c r="D20" s="21" t="s">
        <v>24</v>
      </c>
      <c r="E20" s="22" t="s">
        <v>25</v>
      </c>
      <c r="F20" s="21" t="n">
        <v>4</v>
      </c>
      <c r="G20" s="20" t="s">
        <v>23</v>
      </c>
      <c r="H20" s="20" t="s">
        <v>26</v>
      </c>
      <c r="I20" s="14"/>
    </row>
    <row r="21" customFormat="false" ht="15.75" hidden="false" customHeight="true" outlineLevel="0" collapsed="false">
      <c r="B21" s="19" t="s">
        <v>22</v>
      </c>
      <c r="C21" s="20" t="s">
        <v>27</v>
      </c>
      <c r="D21" s="21" t="s">
        <v>28</v>
      </c>
      <c r="E21" s="22" t="s">
        <v>25</v>
      </c>
      <c r="F21" s="21" t="n">
        <v>1</v>
      </c>
      <c r="G21" s="20" t="s">
        <v>29</v>
      </c>
      <c r="H21" s="20" t="s">
        <v>30</v>
      </c>
      <c r="I21" s="14"/>
    </row>
    <row r="22" customFormat="false" ht="15.75" hidden="false" customHeight="true" outlineLevel="0" collapsed="false">
      <c r="B22" s="19" t="s">
        <v>22</v>
      </c>
      <c r="C22" s="20" t="s">
        <v>27</v>
      </c>
      <c r="D22" s="21" t="s">
        <v>31</v>
      </c>
      <c r="E22" s="22" t="s">
        <v>25</v>
      </c>
      <c r="F22" s="21" t="n">
        <v>1</v>
      </c>
      <c r="G22" s="20" t="s">
        <v>32</v>
      </c>
      <c r="H22" s="20" t="s">
        <v>33</v>
      </c>
      <c r="I22" s="14"/>
    </row>
    <row r="23" customFormat="false" ht="15.75" hidden="false" customHeight="true" outlineLevel="0" collapsed="false">
      <c r="B23" s="19" t="s">
        <v>22</v>
      </c>
      <c r="C23" s="20" t="s">
        <v>34</v>
      </c>
      <c r="D23" s="21" t="s">
        <v>31</v>
      </c>
      <c r="E23" s="22" t="s">
        <v>25</v>
      </c>
      <c r="F23" s="21" t="n">
        <v>1</v>
      </c>
      <c r="G23" s="20" t="s">
        <v>35</v>
      </c>
      <c r="H23" s="20" t="s">
        <v>36</v>
      </c>
      <c r="I23" s="14"/>
    </row>
    <row r="24" customFormat="false" ht="15.75" hidden="false" customHeight="true" outlineLevel="0" collapsed="false">
      <c r="B24" s="23" t="s">
        <v>37</v>
      </c>
      <c r="C24" s="24" t="s">
        <v>38</v>
      </c>
      <c r="D24" s="25" t="s">
        <v>39</v>
      </c>
      <c r="E24" s="26" t="s">
        <v>25</v>
      </c>
      <c r="F24" s="26" t="n">
        <v>4</v>
      </c>
      <c r="G24" s="23" t="s">
        <v>40</v>
      </c>
      <c r="H24" s="23" t="s">
        <v>41</v>
      </c>
      <c r="I24" s="14"/>
    </row>
    <row r="25" customFormat="false" ht="15.75" hidden="false" customHeight="true" outlineLevel="0" collapsed="false">
      <c r="B25" s="23" t="s">
        <v>37</v>
      </c>
      <c r="C25" s="24" t="s">
        <v>38</v>
      </c>
      <c r="D25" s="25" t="s">
        <v>39</v>
      </c>
      <c r="E25" s="26" t="s">
        <v>25</v>
      </c>
      <c r="F25" s="26" t="n">
        <v>4</v>
      </c>
      <c r="G25" s="23" t="s">
        <v>42</v>
      </c>
      <c r="H25" s="23" t="s">
        <v>41</v>
      </c>
      <c r="I25" s="14"/>
    </row>
    <row r="26" customFormat="false" ht="15.75" hidden="false" customHeight="true" outlineLevel="0" collapsed="false">
      <c r="B26" s="23" t="s">
        <v>37</v>
      </c>
      <c r="C26" s="24" t="s">
        <v>38</v>
      </c>
      <c r="D26" s="25" t="s">
        <v>39</v>
      </c>
      <c r="E26" s="26" t="s">
        <v>25</v>
      </c>
      <c r="F26" s="26" t="n">
        <v>4</v>
      </c>
      <c r="G26" s="23" t="s">
        <v>43</v>
      </c>
      <c r="H26" s="23" t="s">
        <v>41</v>
      </c>
      <c r="I26" s="14"/>
    </row>
    <row r="27" customFormat="false" ht="15.75" hidden="false" customHeight="true" outlineLevel="0" collapsed="false">
      <c r="B27" s="23" t="s">
        <v>37</v>
      </c>
      <c r="C27" s="24" t="s">
        <v>38</v>
      </c>
      <c r="D27" s="25" t="s">
        <v>39</v>
      </c>
      <c r="E27" s="26" t="s">
        <v>25</v>
      </c>
      <c r="F27" s="26" t="n">
        <v>4</v>
      </c>
      <c r="G27" s="23" t="s">
        <v>44</v>
      </c>
      <c r="H27" s="23" t="s">
        <v>41</v>
      </c>
      <c r="I27" s="14"/>
    </row>
    <row r="28" customFormat="false" ht="15.75" hidden="false" customHeight="true" outlineLevel="0" collapsed="false">
      <c r="B28" s="23" t="s">
        <v>37</v>
      </c>
      <c r="C28" s="24" t="s">
        <v>38</v>
      </c>
      <c r="D28" s="25" t="s">
        <v>39</v>
      </c>
      <c r="E28" s="26" t="s">
        <v>25</v>
      </c>
      <c r="F28" s="26" t="n">
        <v>1</v>
      </c>
      <c r="G28" s="23" t="s">
        <v>45</v>
      </c>
      <c r="H28" s="23" t="s">
        <v>46</v>
      </c>
      <c r="I28" s="14"/>
    </row>
    <row r="29" customFormat="false" ht="15.75" hidden="false" customHeight="true" outlineLevel="0" collapsed="false">
      <c r="B29" s="23" t="s">
        <v>37</v>
      </c>
      <c r="C29" s="24" t="s">
        <v>38</v>
      </c>
      <c r="D29" s="25" t="s">
        <v>39</v>
      </c>
      <c r="E29" s="26" t="s">
        <v>25</v>
      </c>
      <c r="F29" s="26" t="n">
        <v>1</v>
      </c>
      <c r="G29" s="23" t="s">
        <v>47</v>
      </c>
      <c r="H29" s="23" t="s">
        <v>46</v>
      </c>
      <c r="I29" s="14"/>
    </row>
    <row r="30" customFormat="false" ht="15.75" hidden="false" customHeight="true" outlineLevel="0" collapsed="false">
      <c r="B30" s="27"/>
      <c r="C30" s="27"/>
      <c r="D30" s="28"/>
      <c r="E30" s="28"/>
      <c r="F30" s="28"/>
      <c r="G30" s="27"/>
      <c r="H30" s="27"/>
      <c r="I30" s="14"/>
    </row>
    <row r="31" customFormat="false" ht="15.75" hidden="false" customHeight="true" outlineLevel="0" collapsed="false">
      <c r="B31" s="27"/>
      <c r="C31" s="27"/>
      <c r="D31" s="28"/>
      <c r="E31" s="28"/>
      <c r="F31" s="28"/>
      <c r="G31" s="27"/>
      <c r="H31" s="27"/>
      <c r="I31" s="14"/>
    </row>
    <row r="32" customFormat="false" ht="15.75" hidden="false" customHeight="true" outlineLevel="0" collapsed="false">
      <c r="B32" s="27"/>
      <c r="C32" s="27"/>
      <c r="D32" s="28"/>
      <c r="E32" s="28"/>
      <c r="F32" s="28"/>
      <c r="G32" s="27"/>
      <c r="H32" s="27"/>
      <c r="I32" s="14"/>
    </row>
    <row r="33" customFormat="false" ht="15.75" hidden="false" customHeight="true" outlineLevel="0" collapsed="false">
      <c r="B33" s="27"/>
      <c r="C33" s="27"/>
      <c r="D33" s="28"/>
      <c r="E33" s="28"/>
      <c r="F33" s="28"/>
      <c r="G33" s="27"/>
      <c r="H33" s="27"/>
      <c r="I33" s="14"/>
    </row>
    <row r="34" customFormat="false" ht="15.75" hidden="false" customHeight="true" outlineLevel="0" collapsed="false">
      <c r="B34" s="27"/>
      <c r="C34" s="27"/>
      <c r="D34" s="28"/>
      <c r="E34" s="28"/>
      <c r="F34" s="28"/>
      <c r="G34" s="27"/>
      <c r="H34" s="27"/>
      <c r="I34" s="14"/>
    </row>
    <row r="35" customFormat="false" ht="15.75" hidden="false" customHeight="true" outlineLevel="0" collapsed="false">
      <c r="B35" s="27"/>
      <c r="C35" s="27"/>
      <c r="D35" s="28"/>
      <c r="E35" s="28"/>
      <c r="F35" s="28"/>
      <c r="G35" s="27"/>
      <c r="H35" s="27"/>
      <c r="I35" s="14"/>
    </row>
    <row r="36" customFormat="false" ht="15.75" hidden="false" customHeight="true" outlineLevel="0" collapsed="false">
      <c r="B36" s="27"/>
      <c r="C36" s="27"/>
      <c r="D36" s="28"/>
      <c r="E36" s="28"/>
      <c r="F36" s="28"/>
      <c r="G36" s="27"/>
      <c r="H36" s="27"/>
      <c r="I36" s="14"/>
    </row>
    <row r="37" customFormat="false" ht="15.75" hidden="false" customHeight="true" outlineLevel="0" collapsed="false">
      <c r="B37" s="27"/>
      <c r="C37" s="27"/>
      <c r="D37" s="28"/>
      <c r="E37" s="28"/>
      <c r="F37" s="28"/>
      <c r="G37" s="27"/>
      <c r="H37" s="27"/>
      <c r="I37" s="14"/>
    </row>
    <row r="38" customFormat="false" ht="15.75" hidden="false" customHeight="true" outlineLevel="0" collapsed="false">
      <c r="B38" s="27"/>
      <c r="C38" s="27"/>
      <c r="D38" s="28"/>
      <c r="E38" s="28"/>
      <c r="F38" s="28"/>
      <c r="G38" s="27"/>
      <c r="H38" s="27"/>
      <c r="I38" s="14"/>
    </row>
    <row r="39" customFormat="false" ht="15.75" hidden="false" customHeight="true" outlineLevel="0" collapsed="false">
      <c r="B39" s="27"/>
      <c r="C39" s="27"/>
      <c r="D39" s="28"/>
      <c r="E39" s="28"/>
      <c r="F39" s="28"/>
      <c r="G39" s="27"/>
      <c r="H39" s="27"/>
      <c r="I39" s="14"/>
    </row>
    <row r="40" customFormat="false" ht="13.5" hidden="false" customHeight="true" outlineLevel="0" collapsed="false">
      <c r="B40" s="29" t="s">
        <v>48</v>
      </c>
      <c r="C40" s="29"/>
      <c r="D40" s="29"/>
      <c r="E40" s="29"/>
      <c r="F40" s="29"/>
      <c r="G40" s="29"/>
      <c r="H40" s="29"/>
      <c r="I40" s="14"/>
    </row>
    <row r="41" customFormat="false" ht="15" hidden="false" customHeight="true" outlineLevel="0" collapsed="false">
      <c r="B41" s="30"/>
      <c r="C41" s="30"/>
      <c r="D41" s="31"/>
      <c r="E41" s="30"/>
      <c r="F41" s="31"/>
      <c r="G41" s="31"/>
      <c r="H41" s="30"/>
      <c r="I41" s="14"/>
    </row>
    <row r="42" customFormat="false" ht="15" hidden="false" customHeight="true" outlineLevel="0" collapsed="false">
      <c r="B42" s="30"/>
      <c r="C42" s="30"/>
      <c r="D42" s="31"/>
      <c r="E42" s="30"/>
      <c r="F42" s="31"/>
      <c r="G42" s="31"/>
      <c r="H42" s="30"/>
      <c r="I42" s="14"/>
    </row>
    <row r="43" customFormat="false" ht="15" hidden="false" customHeight="true" outlineLevel="0" collapsed="false">
      <c r="B43" s="30"/>
      <c r="C43" s="30"/>
      <c r="D43" s="31"/>
      <c r="E43" s="30"/>
      <c r="F43" s="31"/>
      <c r="G43" s="31"/>
      <c r="H43" s="30"/>
      <c r="I43" s="14"/>
    </row>
    <row r="44" customFormat="false" ht="15" hidden="false" customHeight="true" outlineLevel="0" collapsed="false">
      <c r="B44" s="15"/>
      <c r="C44" s="14"/>
      <c r="D44" s="14"/>
      <c r="E44" s="14"/>
      <c r="F44" s="14"/>
      <c r="G44" s="14"/>
      <c r="H44" s="14"/>
      <c r="I44" s="14"/>
    </row>
    <row r="45" customFormat="false" ht="15" hidden="false" customHeight="true" outlineLevel="0" collapsed="false"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true" outlineLevel="0" collapsed="false"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true" outlineLevel="0" collapsed="false"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true" outlineLevel="0" collapsed="false"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true" outlineLevel="0" collapsed="false"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true" outlineLevel="0" collapsed="false"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true" outlineLevel="0" collapsed="false"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true" outlineLevel="0" collapsed="false"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true" outlineLevel="0" collapsed="false"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true" outlineLevel="0" collapsed="false"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true" outlineLevel="0" collapsed="false"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true" outlineLevel="0" collapsed="false"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true" outlineLevel="0" collapsed="false"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true" outlineLevel="0" collapsed="false"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true" outlineLevel="0" collapsed="false"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true" outlineLevel="0" collapsed="false"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true" outlineLevel="0" collapsed="false"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true" outlineLevel="0" collapsed="false"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true" outlineLevel="0" collapsed="false"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true" outlineLevel="0" collapsed="false">
      <c r="B64" s="14"/>
      <c r="C64" s="14"/>
      <c r="D64" s="14"/>
      <c r="E64" s="14"/>
      <c r="F64" s="14"/>
      <c r="G64" s="14"/>
      <c r="H64" s="14"/>
      <c r="I64" s="14"/>
    </row>
  </sheetData>
  <mergeCells count="7">
    <mergeCell ref="B1:E1"/>
    <mergeCell ref="B2:E2"/>
    <mergeCell ref="B11:C12"/>
    <mergeCell ref="D11:E12"/>
    <mergeCell ref="B17:H17"/>
    <mergeCell ref="B18:H18"/>
    <mergeCell ref="B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22" min="3" style="1" width="5.2"/>
    <col collapsed="false" customWidth="true" hidden="false" outlineLevel="0" max="24" min="23" style="1" width="7"/>
  </cols>
  <sheetData>
    <row r="1" customFormat="false" ht="27.75" hidden="false" customHeight="true" outlineLevel="0" collapsed="false">
      <c r="A1" s="32" t="s">
        <v>49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</row>
    <row r="2" customFormat="false" ht="18" hidden="false" customHeight="true" outlineLevel="0" collapsed="false">
      <c r="A2" s="33" t="s">
        <v>50</v>
      </c>
      <c r="B2" s="33"/>
      <c r="C2" s="34" t="s">
        <v>51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</row>
    <row r="3" customFormat="false" ht="6" hidden="false" customHeight="true" outlineLevel="0" collapsed="false"/>
    <row r="4" customFormat="false" ht="30" hidden="false" customHeight="true" outlineLevel="0" collapsed="false">
      <c r="A4" s="35" t="s">
        <v>52</v>
      </c>
      <c r="B4" s="35"/>
      <c r="C4" s="35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 customFormat="false" ht="7.5" hidden="false" customHeight="true" outlineLevel="0" collapsed="false"/>
    <row r="6" customFormat="false" ht="19.5" hidden="false" customHeight="true" outlineLevel="0" collapsed="false">
      <c r="A6" s="37" t="s">
        <v>53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customFormat="false" ht="16.5" hidden="false" customHeight="true" outlineLevel="0" collapsed="false">
      <c r="A7" s="38" t="s">
        <v>54</v>
      </c>
      <c r="B7" s="38"/>
      <c r="C7" s="38"/>
      <c r="D7" s="39" t="s">
        <v>55</v>
      </c>
      <c r="E7" s="39"/>
      <c r="F7" s="39"/>
      <c r="G7" s="40" t="s">
        <v>56</v>
      </c>
      <c r="H7" s="40"/>
      <c r="I7" s="40"/>
      <c r="J7" s="41" t="s">
        <v>57</v>
      </c>
      <c r="K7" s="41"/>
      <c r="L7" s="41"/>
      <c r="M7" s="42" t="s">
        <v>58</v>
      </c>
      <c r="N7" s="42"/>
      <c r="O7" s="42"/>
      <c r="P7" s="38" t="s">
        <v>45</v>
      </c>
      <c r="Q7" s="38"/>
      <c r="R7" s="38"/>
    </row>
    <row r="8" customFormat="false" ht="27.75" hidden="false" customHeight="true" outlineLevel="0" collapsed="false">
      <c r="A8" s="43" t="n">
        <f aca="false">SUM(R32:V32)</f>
        <v>0</v>
      </c>
      <c r="B8" s="43"/>
      <c r="C8" s="43"/>
      <c r="D8" s="44" t="n">
        <f aca="false">SUM(R27:V27)</f>
        <v>0</v>
      </c>
      <c r="E8" s="44"/>
      <c r="F8" s="44"/>
      <c r="G8" s="45" t="n">
        <f aca="false">SUM(R31:V31)</f>
        <v>0</v>
      </c>
      <c r="H8" s="45"/>
      <c r="I8" s="45"/>
      <c r="J8" s="46" t="n">
        <f aca="false">SUM(R28:V28)</f>
        <v>0</v>
      </c>
      <c r="K8" s="46"/>
      <c r="L8" s="46"/>
      <c r="M8" s="47" t="n">
        <f aca="false">IFERROR(SUM(R28:V28)/SUM(R27:V27),0)</f>
        <v>0</v>
      </c>
      <c r="N8" s="47"/>
      <c r="O8" s="47"/>
      <c r="P8" s="43"/>
      <c r="Q8" s="43"/>
      <c r="R8" s="43"/>
    </row>
    <row r="9" customFormat="false" ht="15" hidden="false" customHeight="true" outlineLevel="0" collapsed="false">
      <c r="A9" s="48" t="s">
        <v>59</v>
      </c>
      <c r="B9" s="48"/>
      <c r="C9" s="48"/>
      <c r="D9" s="49" t="s">
        <v>59</v>
      </c>
      <c r="E9" s="49"/>
      <c r="F9" s="49"/>
      <c r="G9" s="50" t="s">
        <v>59</v>
      </c>
      <c r="H9" s="50"/>
      <c r="I9" s="50"/>
      <c r="J9" s="51" t="s">
        <v>59</v>
      </c>
      <c r="K9" s="51"/>
      <c r="L9" s="51"/>
      <c r="M9" s="52" t="s">
        <v>59</v>
      </c>
      <c r="N9" s="52"/>
      <c r="O9" s="52"/>
      <c r="P9" s="48" t="s">
        <v>59</v>
      </c>
      <c r="Q9" s="48"/>
      <c r="R9" s="48"/>
    </row>
    <row r="10" customFormat="false" ht="7.5" hidden="false" customHeight="true" outlineLevel="0" collapsed="false"/>
    <row r="11" customFormat="false" ht="7.5" hidden="false" customHeight="true" outlineLevel="0" collapsed="false"/>
    <row r="12" customFormat="false" ht="16.5" hidden="false" customHeight="true" outlineLevel="0" collapsed="false">
      <c r="A12" s="53" t="s">
        <v>60</v>
      </c>
      <c r="B12" s="53"/>
      <c r="C12" s="53"/>
      <c r="D12" s="53"/>
      <c r="E12" s="39" t="s">
        <v>61</v>
      </c>
      <c r="F12" s="39"/>
      <c r="G12" s="39"/>
      <c r="H12" s="39"/>
      <c r="I12" s="40" t="s">
        <v>62</v>
      </c>
      <c r="J12" s="40"/>
      <c r="K12" s="40"/>
      <c r="L12" s="40"/>
    </row>
    <row r="13" customFormat="false" ht="27.75" hidden="false" customHeight="true" outlineLevel="0" collapsed="false">
      <c r="A13" s="54" t="n">
        <f aca="false">IFERROR(SUM(R27:V27)/COUNTIF(R27:V27,"&gt;0"),0)</f>
        <v>0</v>
      </c>
      <c r="B13" s="54"/>
      <c r="C13" s="54"/>
      <c r="D13" s="54"/>
      <c r="E13" s="55" t="n">
        <f aca="false">SUM(R57:V57)</f>
        <v>1</v>
      </c>
      <c r="F13" s="55"/>
      <c r="G13" s="55"/>
      <c r="H13" s="55"/>
      <c r="I13" s="56" t="n">
        <f aca="false">SUM(R72:V72)</f>
        <v>0</v>
      </c>
      <c r="J13" s="56"/>
      <c r="K13" s="56"/>
      <c r="L13" s="56"/>
    </row>
    <row r="14" customFormat="false" ht="15" hidden="false" customHeight="true" outlineLevel="0" collapsed="false">
      <c r="A14" s="57" t="n">
        <f aca="false">IFERROR(SUM(M27:Q27)/COUNTIF(M27:Q27,"&gt;0"),0)</f>
        <v>0</v>
      </c>
      <c r="B14" s="57"/>
      <c r="C14" s="57"/>
      <c r="D14" s="57"/>
      <c r="E14" s="49" t="s">
        <v>59</v>
      </c>
      <c r="F14" s="49"/>
      <c r="G14" s="49"/>
      <c r="H14" s="49"/>
      <c r="I14" s="50" t="s">
        <v>59</v>
      </c>
      <c r="J14" s="50"/>
      <c r="K14" s="50"/>
      <c r="L14" s="50"/>
    </row>
    <row r="15" customFormat="false" ht="7.5" hidden="false" customHeight="true" outlineLevel="0" collapsed="false"/>
    <row r="16" customFormat="false" ht="15.75" hidden="false" customHeight="true" outlineLevel="0" collapsed="false">
      <c r="A16" s="35" t="s">
        <v>63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</row>
    <row r="17" customFormat="false" ht="15.75" hidden="false" customHeight="true" outlineLevel="0" collapsed="false">
      <c r="A17" s="58" t="s">
        <v>64</v>
      </c>
      <c r="B17" s="58"/>
      <c r="C17" s="58"/>
      <c r="D17" s="58"/>
      <c r="E17" s="58" t="s">
        <v>65</v>
      </c>
      <c r="F17" s="58"/>
      <c r="G17" s="58"/>
      <c r="H17" s="58"/>
      <c r="I17" s="58"/>
      <c r="J17" s="58"/>
      <c r="K17" s="58"/>
      <c r="L17" s="58"/>
      <c r="M17" s="58"/>
      <c r="N17" s="58"/>
      <c r="O17" s="58" t="s">
        <v>66</v>
      </c>
      <c r="P17" s="58"/>
      <c r="Q17" s="58"/>
      <c r="R17" s="58"/>
      <c r="S17" s="59" t="s">
        <v>67</v>
      </c>
      <c r="T17" s="59"/>
      <c r="U17" s="59"/>
      <c r="V17" s="59"/>
      <c r="W17" s="59"/>
      <c r="X17" s="59"/>
    </row>
    <row r="18" customFormat="false" ht="25.5" hidden="false" customHeight="true" outlineLevel="0" collapsed="false">
      <c r="A18" s="60" t="s">
        <v>68</v>
      </c>
      <c r="B18" s="60"/>
      <c r="C18" s="60"/>
      <c r="D18" s="60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</row>
    <row r="19" customFormat="false" ht="6" hidden="false" customHeight="true" outlineLevel="0" collapsed="false"/>
    <row r="20" customFormat="false" ht="15.75" hidden="false" customHeight="true" outlineLevel="0" collapsed="false">
      <c r="A20" s="35" t="s">
        <v>69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</row>
    <row r="21" customFormat="false" ht="15.75" hidden="false" customHeight="true" outlineLevel="0" collapsed="false">
      <c r="A21" s="58" t="s">
        <v>64</v>
      </c>
      <c r="B21" s="58"/>
      <c r="C21" s="58"/>
      <c r="D21" s="58"/>
      <c r="E21" s="58" t="s">
        <v>70</v>
      </c>
      <c r="F21" s="58"/>
      <c r="G21" s="58"/>
      <c r="H21" s="58"/>
      <c r="I21" s="58"/>
      <c r="J21" s="58"/>
      <c r="K21" s="58"/>
      <c r="L21" s="58"/>
      <c r="M21" s="58"/>
      <c r="N21" s="58"/>
      <c r="O21" s="58" t="s">
        <v>71</v>
      </c>
      <c r="P21" s="58"/>
      <c r="Q21" s="58"/>
      <c r="R21" s="58"/>
      <c r="S21" s="61" t="s">
        <v>72</v>
      </c>
      <c r="T21" s="61"/>
      <c r="U21" s="61"/>
      <c r="V21" s="61"/>
      <c r="W21" s="61"/>
      <c r="X21" s="61"/>
    </row>
    <row r="22" customFormat="false" ht="25.5" hidden="false" customHeight="true" outlineLevel="0" collapsed="false">
      <c r="A22" s="60" t="s">
        <v>68</v>
      </c>
      <c r="B22" s="60"/>
      <c r="C22" s="60"/>
      <c r="D22" s="60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</row>
    <row r="23" customFormat="false" ht="6" hidden="false" customHeight="true" outlineLevel="0" collapsed="false"/>
    <row r="24" customFormat="false" ht="7.5" hidden="false" customHeight="true" outlineLevel="0" collapsed="false"/>
    <row r="25" customFormat="false" ht="19.5" hidden="false" customHeight="true" outlineLevel="0" collapsed="false">
      <c r="A25" s="37" t="s">
        <v>73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</row>
    <row r="26" customFormat="false" ht="18" hidden="false" customHeight="true" outlineLevel="0" collapsed="false">
      <c r="A26" s="62" t="s">
        <v>74</v>
      </c>
      <c r="B26" s="62"/>
      <c r="C26" s="63" t="n">
        <f aca="false">操作パネル!$C$4-21</f>
        <v>-21</v>
      </c>
      <c r="D26" s="64" t="n">
        <f aca="false">操作パネル!$C$4-20</f>
        <v>-20</v>
      </c>
      <c r="E26" s="64" t="n">
        <f aca="false">操作パネル!$C$4-19</f>
        <v>-19</v>
      </c>
      <c r="F26" s="64" t="n">
        <f aca="false">操作パネル!$C$4-18</f>
        <v>-18</v>
      </c>
      <c r="G26" s="64" t="n">
        <f aca="false">操作パネル!$C$4-17</f>
        <v>-17</v>
      </c>
      <c r="H26" s="63" t="n">
        <f aca="false">操作パネル!$C$4-14</f>
        <v>-14</v>
      </c>
      <c r="I26" s="64" t="n">
        <f aca="false">操作パネル!$C$4-13</f>
        <v>-13</v>
      </c>
      <c r="J26" s="64" t="n">
        <f aca="false">操作パネル!$C$4-12</f>
        <v>-12</v>
      </c>
      <c r="K26" s="64" t="n">
        <f aca="false">操作パネル!$C$4-11</f>
        <v>-11</v>
      </c>
      <c r="L26" s="64" t="n">
        <f aca="false">操作パネル!$C$4-10</f>
        <v>-10</v>
      </c>
      <c r="M26" s="63" t="n">
        <f aca="false">操作パネル!$C$4-7</f>
        <v>-7</v>
      </c>
      <c r="N26" s="64" t="n">
        <f aca="false">操作パネル!$C$4-6</f>
        <v>-6</v>
      </c>
      <c r="O26" s="64" t="n">
        <f aca="false">操作パネル!$C$4-5</f>
        <v>-5</v>
      </c>
      <c r="P26" s="64" t="n">
        <f aca="false">操作パネル!$C$4-4</f>
        <v>-4</v>
      </c>
      <c r="Q26" s="64" t="n">
        <f aca="false">操作パネル!$C$4-3</f>
        <v>-3</v>
      </c>
      <c r="R26" s="63" t="n">
        <f aca="false">操作パネル!$C$4</f>
        <v>0</v>
      </c>
      <c r="S26" s="64" t="n">
        <f aca="false">操作パネル!$C$4+1</f>
        <v>1</v>
      </c>
      <c r="T26" s="64" t="n">
        <f aca="false">操作パネル!$C$4+2</f>
        <v>2</v>
      </c>
      <c r="U26" s="64" t="n">
        <f aca="false">操作パネル!$C$4+3</f>
        <v>3</v>
      </c>
      <c r="V26" s="64" t="n">
        <f aca="false">操作パネル!$C$4+4</f>
        <v>4</v>
      </c>
      <c r="W26" s="65" t="s">
        <v>75</v>
      </c>
      <c r="X26" s="65" t="s">
        <v>76</v>
      </c>
    </row>
    <row r="27" customFormat="false" ht="15.75" hidden="false" customHeight="true" outlineLevel="0" collapsed="false">
      <c r="A27" s="66" t="s">
        <v>40</v>
      </c>
      <c r="B27" s="66"/>
      <c r="C27" s="67"/>
      <c r="D27" s="68"/>
      <c r="E27" s="68"/>
      <c r="F27" s="68"/>
      <c r="G27" s="68"/>
      <c r="H27" s="67"/>
      <c r="I27" s="68"/>
      <c r="J27" s="68"/>
      <c r="K27" s="68"/>
      <c r="L27" s="68"/>
      <c r="M27" s="67"/>
      <c r="N27" s="68"/>
      <c r="O27" s="68"/>
      <c r="P27" s="68"/>
      <c r="Q27" s="68"/>
      <c r="R27" s="67"/>
      <c r="S27" s="68"/>
      <c r="T27" s="68"/>
      <c r="U27" s="68"/>
      <c r="V27" s="68"/>
      <c r="W27" s="65" t="n">
        <f aca="false">SUM(C27:V27)</f>
        <v>0</v>
      </c>
      <c r="X27" s="65"/>
    </row>
    <row r="28" customFormat="false" ht="15.75" hidden="false" customHeight="true" outlineLevel="0" collapsed="false">
      <c r="A28" s="69" t="s">
        <v>42</v>
      </c>
      <c r="B28" s="69"/>
      <c r="C28" s="67"/>
      <c r="D28" s="68"/>
      <c r="E28" s="68"/>
      <c r="F28" s="68"/>
      <c r="G28" s="68"/>
      <c r="H28" s="67"/>
      <c r="I28" s="68"/>
      <c r="J28" s="68"/>
      <c r="K28" s="68"/>
      <c r="L28" s="68"/>
      <c r="M28" s="67"/>
      <c r="N28" s="68"/>
      <c r="O28" s="68"/>
      <c r="P28" s="68"/>
      <c r="Q28" s="68"/>
      <c r="R28" s="67"/>
      <c r="S28" s="68"/>
      <c r="T28" s="68"/>
      <c r="U28" s="68"/>
      <c r="V28" s="68"/>
      <c r="W28" s="65" t="n">
        <f aca="false">SUM(C28:V28)</f>
        <v>0</v>
      </c>
      <c r="X28" s="65"/>
    </row>
    <row r="29" customFormat="false" ht="15.75" hidden="false" customHeight="true" outlineLevel="0" collapsed="false">
      <c r="A29" s="69" t="s">
        <v>77</v>
      </c>
      <c r="B29" s="69"/>
      <c r="C29" s="70"/>
      <c r="D29" s="71"/>
      <c r="E29" s="71"/>
      <c r="F29" s="71"/>
      <c r="G29" s="71"/>
      <c r="H29" s="70"/>
      <c r="I29" s="71"/>
      <c r="J29" s="71"/>
      <c r="K29" s="71"/>
      <c r="L29" s="71"/>
      <c r="M29" s="70"/>
      <c r="N29" s="71"/>
      <c r="O29" s="71"/>
      <c r="P29" s="71"/>
      <c r="Q29" s="71"/>
      <c r="R29" s="70"/>
      <c r="S29" s="71"/>
      <c r="T29" s="71"/>
      <c r="U29" s="71"/>
      <c r="V29" s="71"/>
      <c r="W29" s="72" t="s">
        <v>78</v>
      </c>
      <c r="X29" s="72" t="s">
        <v>78</v>
      </c>
    </row>
    <row r="30" customFormat="false" ht="15.75" hidden="false" customHeight="true" outlineLevel="0" collapsed="false">
      <c r="A30" s="69" t="s">
        <v>43</v>
      </c>
      <c r="B30" s="69"/>
      <c r="C30" s="67"/>
      <c r="D30" s="68"/>
      <c r="E30" s="68"/>
      <c r="F30" s="68"/>
      <c r="G30" s="68"/>
      <c r="H30" s="67"/>
      <c r="I30" s="68"/>
      <c r="J30" s="68"/>
      <c r="K30" s="68"/>
      <c r="L30" s="68"/>
      <c r="M30" s="67"/>
      <c r="N30" s="68"/>
      <c r="O30" s="68"/>
      <c r="P30" s="68"/>
      <c r="Q30" s="68"/>
      <c r="R30" s="67"/>
      <c r="S30" s="68"/>
      <c r="T30" s="68"/>
      <c r="U30" s="68"/>
      <c r="V30" s="68"/>
      <c r="W30" s="65" t="n">
        <f aca="false">SUM(C30:V30)</f>
        <v>0</v>
      </c>
      <c r="X30" s="65"/>
    </row>
    <row r="31" customFormat="false" ht="15.75" hidden="false" customHeight="true" outlineLevel="0" collapsed="false">
      <c r="A31" s="66" t="s">
        <v>44</v>
      </c>
      <c r="B31" s="66"/>
      <c r="C31" s="67"/>
      <c r="D31" s="68"/>
      <c r="E31" s="68"/>
      <c r="F31" s="68"/>
      <c r="G31" s="68"/>
      <c r="H31" s="67"/>
      <c r="I31" s="68"/>
      <c r="J31" s="68"/>
      <c r="K31" s="68"/>
      <c r="L31" s="68"/>
      <c r="M31" s="67"/>
      <c r="N31" s="68"/>
      <c r="O31" s="68"/>
      <c r="P31" s="68"/>
      <c r="Q31" s="68"/>
      <c r="R31" s="67"/>
      <c r="S31" s="68"/>
      <c r="T31" s="68"/>
      <c r="U31" s="68"/>
      <c r="V31" s="68"/>
      <c r="W31" s="65" t="n">
        <f aca="false">SUM(C31:V31)</f>
        <v>0</v>
      </c>
      <c r="X31" s="65"/>
    </row>
    <row r="32" customFormat="false" ht="15.75" hidden="false" customHeight="true" outlineLevel="0" collapsed="false">
      <c r="A32" s="73" t="s">
        <v>79</v>
      </c>
      <c r="B32" s="73"/>
      <c r="C32" s="74"/>
      <c r="D32" s="75"/>
      <c r="E32" s="75"/>
      <c r="F32" s="75"/>
      <c r="G32" s="75"/>
      <c r="H32" s="74"/>
      <c r="I32" s="75"/>
      <c r="J32" s="75"/>
      <c r="K32" s="75"/>
      <c r="L32" s="75"/>
      <c r="M32" s="74"/>
      <c r="N32" s="75"/>
      <c r="O32" s="75"/>
      <c r="P32" s="75"/>
      <c r="Q32" s="75"/>
      <c r="R32" s="74"/>
      <c r="S32" s="75"/>
      <c r="T32" s="75"/>
      <c r="U32" s="75"/>
      <c r="V32" s="75"/>
      <c r="W32" s="65" t="n">
        <f aca="false">SUM(C32:V32)</f>
        <v>0</v>
      </c>
      <c r="X32" s="65"/>
    </row>
    <row r="33" customFormat="false" ht="15.75" hidden="false" customHeight="true" outlineLevel="0" collapsed="false">
      <c r="A33" s="76" t="s">
        <v>23</v>
      </c>
      <c r="B33" s="76"/>
      <c r="C33" s="77"/>
      <c r="D33" s="78"/>
      <c r="E33" s="78"/>
      <c r="F33" s="78"/>
      <c r="G33" s="78"/>
      <c r="H33" s="77"/>
      <c r="I33" s="78"/>
      <c r="J33" s="78"/>
      <c r="K33" s="78"/>
      <c r="L33" s="78"/>
      <c r="M33" s="77"/>
      <c r="N33" s="78"/>
      <c r="O33" s="78"/>
      <c r="P33" s="78"/>
      <c r="Q33" s="78"/>
      <c r="R33" s="77"/>
      <c r="S33" s="78"/>
      <c r="T33" s="78"/>
      <c r="U33" s="78"/>
      <c r="V33" s="78"/>
      <c r="W33" s="65" t="n">
        <f aca="false">SUM(C33:V33)</f>
        <v>0</v>
      </c>
      <c r="X33" s="65"/>
    </row>
    <row r="34" customFormat="false" ht="13.5" hidden="false" customHeight="true" outlineLevel="0" collapsed="false">
      <c r="A34" s="79" t="s">
        <v>80</v>
      </c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</row>
    <row r="35" customFormat="false" ht="7.5" hidden="false" customHeight="true" outlineLevel="0" collapsed="false"/>
    <row r="36" customFormat="false" ht="19.5" hidden="false" customHeight="true" outlineLevel="0" collapsed="false">
      <c r="A36" s="37" t="s">
        <v>81</v>
      </c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</row>
    <row r="37" customFormat="false" ht="18" hidden="false" customHeight="true" outlineLevel="0" collapsed="false">
      <c r="A37" s="80" t="s">
        <v>82</v>
      </c>
      <c r="B37" s="80" t="s">
        <v>83</v>
      </c>
      <c r="C37" s="63" t="n">
        <f aca="false">操作パネル!$C$4-21</f>
        <v>-21</v>
      </c>
      <c r="D37" s="64" t="n">
        <f aca="false">操作パネル!$C$4-20</f>
        <v>-20</v>
      </c>
      <c r="E37" s="64" t="n">
        <f aca="false">操作パネル!$C$4-19</f>
        <v>-19</v>
      </c>
      <c r="F37" s="64" t="n">
        <f aca="false">操作パネル!$C$4-18</f>
        <v>-18</v>
      </c>
      <c r="G37" s="64" t="n">
        <f aca="false">操作パネル!$C$4-17</f>
        <v>-17</v>
      </c>
      <c r="H37" s="63" t="n">
        <f aca="false">操作パネル!$C$4-14</f>
        <v>-14</v>
      </c>
      <c r="I37" s="64" t="n">
        <f aca="false">操作パネル!$C$4-13</f>
        <v>-13</v>
      </c>
      <c r="J37" s="64" t="n">
        <f aca="false">操作パネル!$C$4-12</f>
        <v>-12</v>
      </c>
      <c r="K37" s="64" t="n">
        <f aca="false">操作パネル!$C$4-11</f>
        <v>-11</v>
      </c>
      <c r="L37" s="64" t="n">
        <f aca="false">操作パネル!$C$4-10</f>
        <v>-10</v>
      </c>
      <c r="M37" s="63" t="n">
        <f aca="false">操作パネル!$C$4-7</f>
        <v>-7</v>
      </c>
      <c r="N37" s="64" t="n">
        <f aca="false">操作パネル!$C$4-6</f>
        <v>-6</v>
      </c>
      <c r="O37" s="64" t="n">
        <f aca="false">操作パネル!$C$4-5</f>
        <v>-5</v>
      </c>
      <c r="P37" s="64" t="n">
        <f aca="false">操作パネル!$C$4-4</f>
        <v>-4</v>
      </c>
      <c r="Q37" s="64" t="n">
        <f aca="false">操作パネル!$C$4-3</f>
        <v>-3</v>
      </c>
      <c r="R37" s="63" t="n">
        <f aca="false">操作パネル!$C$4</f>
        <v>0</v>
      </c>
      <c r="S37" s="64" t="n">
        <f aca="false">操作パネル!$C$4+1</f>
        <v>1</v>
      </c>
      <c r="T37" s="64" t="n">
        <f aca="false">操作パネル!$C$4+2</f>
        <v>2</v>
      </c>
      <c r="U37" s="64" t="n">
        <f aca="false">操作パネル!$C$4+3</f>
        <v>3</v>
      </c>
      <c r="V37" s="64" t="n">
        <f aca="false">操作パネル!$C$4+4</f>
        <v>4</v>
      </c>
      <c r="W37" s="65" t="s">
        <v>75</v>
      </c>
      <c r="X37" s="65" t="s">
        <v>76</v>
      </c>
    </row>
    <row r="38" customFormat="false" ht="15" hidden="false" customHeight="true" outlineLevel="0" collapsed="false">
      <c r="A38" s="81" t="s">
        <v>84</v>
      </c>
      <c r="B38" s="82" t="s">
        <v>85</v>
      </c>
      <c r="C38" s="83" t="n">
        <v>2</v>
      </c>
      <c r="D38" s="84" t="n">
        <v>0</v>
      </c>
      <c r="E38" s="84" t="n">
        <v>2</v>
      </c>
      <c r="F38" s="84" t="n">
        <v>2</v>
      </c>
      <c r="G38" s="84" t="n">
        <v>5</v>
      </c>
      <c r="H38" s="83" t="n">
        <v>1</v>
      </c>
      <c r="I38" s="84" t="n">
        <v>1</v>
      </c>
      <c r="J38" s="84" t="n">
        <v>0</v>
      </c>
      <c r="K38" s="84" t="n">
        <v>2</v>
      </c>
      <c r="L38" s="84" t="n">
        <v>0</v>
      </c>
      <c r="M38" s="83" t="n">
        <v>2</v>
      </c>
      <c r="N38" s="84" t="n">
        <v>3</v>
      </c>
      <c r="O38" s="84" t="n">
        <v>0</v>
      </c>
      <c r="P38" s="84" t="n">
        <v>3</v>
      </c>
      <c r="Q38" s="84" t="n">
        <v>18</v>
      </c>
      <c r="R38" s="83" t="n">
        <v>0</v>
      </c>
      <c r="S38" s="84" t="n">
        <v>0</v>
      </c>
      <c r="T38" s="84" t="n">
        <v>0</v>
      </c>
      <c r="U38" s="84" t="n">
        <v>0</v>
      </c>
      <c r="V38" s="84" t="n">
        <v>1</v>
      </c>
      <c r="W38" s="65" t="n">
        <f aca="false">SUM(C38:V38)</f>
        <v>42</v>
      </c>
      <c r="X38" s="85" t="n">
        <f aca="false">IFERROR(W38/W83,0)</f>
        <v>0.0460021905805038</v>
      </c>
    </row>
    <row r="39" customFormat="false" ht="15" hidden="false" customHeight="true" outlineLevel="0" collapsed="false">
      <c r="A39" s="81"/>
      <c r="B39" s="82" t="s">
        <v>86</v>
      </c>
      <c r="C39" s="83" t="n">
        <v>0</v>
      </c>
      <c r="D39" s="84" t="n">
        <v>0</v>
      </c>
      <c r="E39" s="84" t="n">
        <v>3</v>
      </c>
      <c r="F39" s="84" t="n">
        <v>1</v>
      </c>
      <c r="G39" s="84" t="n">
        <v>0</v>
      </c>
      <c r="H39" s="83" t="n">
        <v>4</v>
      </c>
      <c r="I39" s="84" t="n">
        <v>2</v>
      </c>
      <c r="J39" s="84" t="n">
        <v>2</v>
      </c>
      <c r="K39" s="84" t="n">
        <v>3</v>
      </c>
      <c r="L39" s="84" t="n">
        <v>2</v>
      </c>
      <c r="M39" s="83" t="n">
        <v>1</v>
      </c>
      <c r="N39" s="84" t="n">
        <v>0</v>
      </c>
      <c r="O39" s="84" t="n">
        <v>0</v>
      </c>
      <c r="P39" s="84" t="n">
        <v>1</v>
      </c>
      <c r="Q39" s="84" t="n">
        <v>3</v>
      </c>
      <c r="R39" s="83" t="n">
        <v>0</v>
      </c>
      <c r="S39" s="84" t="n">
        <v>0</v>
      </c>
      <c r="T39" s="84" t="n">
        <v>0</v>
      </c>
      <c r="U39" s="84" t="n">
        <v>2</v>
      </c>
      <c r="V39" s="84" t="n">
        <v>1</v>
      </c>
      <c r="W39" s="65" t="n">
        <f aca="false">SUM(C39:V39)</f>
        <v>25</v>
      </c>
      <c r="X39" s="85" t="n">
        <f aca="false">IFERROR(W39/W83,0)</f>
        <v>0.0273822562979189</v>
      </c>
    </row>
    <row r="40" customFormat="false" ht="15" hidden="false" customHeight="true" outlineLevel="0" collapsed="false">
      <c r="A40" s="81"/>
      <c r="B40" s="82" t="s">
        <v>87</v>
      </c>
      <c r="C40" s="83" t="n">
        <v>2</v>
      </c>
      <c r="D40" s="84" t="n">
        <v>0</v>
      </c>
      <c r="E40" s="84" t="n">
        <v>0</v>
      </c>
      <c r="F40" s="84" t="n">
        <v>1</v>
      </c>
      <c r="G40" s="84" t="n">
        <v>0</v>
      </c>
      <c r="H40" s="83" t="n">
        <v>0</v>
      </c>
      <c r="I40" s="84" t="n">
        <v>0</v>
      </c>
      <c r="J40" s="84" t="n">
        <v>0</v>
      </c>
      <c r="K40" s="84" t="n">
        <v>0</v>
      </c>
      <c r="L40" s="84" t="n">
        <v>0</v>
      </c>
      <c r="M40" s="83" t="n">
        <v>0</v>
      </c>
      <c r="N40" s="84" t="n">
        <v>1</v>
      </c>
      <c r="O40" s="84" t="n">
        <v>0</v>
      </c>
      <c r="P40" s="84" t="n">
        <v>0</v>
      </c>
      <c r="Q40" s="84" t="n">
        <v>0</v>
      </c>
      <c r="R40" s="83" t="n">
        <v>0</v>
      </c>
      <c r="S40" s="84" t="n">
        <v>0</v>
      </c>
      <c r="T40" s="84" t="n">
        <v>0</v>
      </c>
      <c r="U40" s="84" t="n">
        <v>0</v>
      </c>
      <c r="V40" s="84" t="n">
        <v>0</v>
      </c>
      <c r="W40" s="65" t="n">
        <f aca="false">SUM(C40:V40)</f>
        <v>4</v>
      </c>
      <c r="X40" s="85" t="n">
        <f aca="false">IFERROR(W40/W83,0)</f>
        <v>0.00438116100766703</v>
      </c>
    </row>
    <row r="41" customFormat="false" ht="15" hidden="false" customHeight="true" outlineLevel="0" collapsed="false">
      <c r="A41" s="81" t="s">
        <v>88</v>
      </c>
      <c r="B41" s="82" t="s">
        <v>89</v>
      </c>
      <c r="C41" s="83" t="n">
        <v>0</v>
      </c>
      <c r="D41" s="84" t="n">
        <v>0</v>
      </c>
      <c r="E41" s="84" t="n">
        <v>2</v>
      </c>
      <c r="F41" s="84" t="n">
        <v>3</v>
      </c>
      <c r="G41" s="84" t="n">
        <v>1</v>
      </c>
      <c r="H41" s="83" t="n">
        <v>2</v>
      </c>
      <c r="I41" s="84" t="n">
        <v>0</v>
      </c>
      <c r="J41" s="84" t="n">
        <v>0</v>
      </c>
      <c r="K41" s="84" t="n">
        <v>0</v>
      </c>
      <c r="L41" s="84" t="n">
        <v>2</v>
      </c>
      <c r="M41" s="83" t="n">
        <v>1</v>
      </c>
      <c r="N41" s="84" t="n">
        <v>6</v>
      </c>
      <c r="O41" s="84" t="n">
        <v>0</v>
      </c>
      <c r="P41" s="84" t="n">
        <v>2</v>
      </c>
      <c r="Q41" s="84" t="n">
        <v>5</v>
      </c>
      <c r="R41" s="83" t="n">
        <v>0</v>
      </c>
      <c r="S41" s="84" t="n">
        <v>0</v>
      </c>
      <c r="T41" s="84" t="n">
        <v>0</v>
      </c>
      <c r="U41" s="84" t="n">
        <v>2</v>
      </c>
      <c r="V41" s="84" t="n">
        <v>2</v>
      </c>
      <c r="W41" s="65" t="n">
        <f aca="false">SUM(C41:V41)</f>
        <v>28</v>
      </c>
      <c r="X41" s="85" t="n">
        <f aca="false">IFERROR(W41/W83,0)</f>
        <v>0.0306681270536692</v>
      </c>
    </row>
    <row r="42" customFormat="false" ht="15" hidden="false" customHeight="true" outlineLevel="0" collapsed="false">
      <c r="A42" s="81"/>
      <c r="B42" s="82" t="s">
        <v>90</v>
      </c>
      <c r="C42" s="83" t="n">
        <v>2</v>
      </c>
      <c r="D42" s="84" t="n">
        <v>1</v>
      </c>
      <c r="E42" s="84" t="n">
        <v>1</v>
      </c>
      <c r="F42" s="84" t="n">
        <v>0</v>
      </c>
      <c r="G42" s="84" t="n">
        <v>0</v>
      </c>
      <c r="H42" s="83" t="n">
        <v>1</v>
      </c>
      <c r="I42" s="84" t="n">
        <v>1</v>
      </c>
      <c r="J42" s="84" t="n">
        <v>0</v>
      </c>
      <c r="K42" s="84" t="n">
        <v>1</v>
      </c>
      <c r="L42" s="84" t="n">
        <v>1</v>
      </c>
      <c r="M42" s="83" t="n">
        <v>1</v>
      </c>
      <c r="N42" s="84" t="n">
        <v>1</v>
      </c>
      <c r="O42" s="84" t="n">
        <v>0</v>
      </c>
      <c r="P42" s="84" t="n">
        <v>1</v>
      </c>
      <c r="Q42" s="84" t="n">
        <v>0</v>
      </c>
      <c r="R42" s="83" t="n">
        <v>0</v>
      </c>
      <c r="S42" s="84" t="n">
        <v>0</v>
      </c>
      <c r="T42" s="84" t="n">
        <v>0</v>
      </c>
      <c r="U42" s="84" t="n">
        <v>0</v>
      </c>
      <c r="V42" s="84" t="n">
        <v>1</v>
      </c>
      <c r="W42" s="65" t="n">
        <f aca="false">SUM(C42:V42)</f>
        <v>12</v>
      </c>
      <c r="X42" s="85" t="n">
        <f aca="false">IFERROR(W42/W83,0)</f>
        <v>0.0131434830230011</v>
      </c>
    </row>
    <row r="43" customFormat="false" ht="15" hidden="false" customHeight="true" outlineLevel="0" collapsed="false">
      <c r="A43" s="81"/>
      <c r="B43" s="82" t="s">
        <v>91</v>
      </c>
      <c r="C43" s="83" t="n">
        <v>1</v>
      </c>
      <c r="D43" s="84" t="n">
        <v>0</v>
      </c>
      <c r="E43" s="84" t="n">
        <v>1</v>
      </c>
      <c r="F43" s="84" t="n">
        <v>0</v>
      </c>
      <c r="G43" s="84" t="n">
        <v>4</v>
      </c>
      <c r="H43" s="83" t="n">
        <v>1</v>
      </c>
      <c r="I43" s="84" t="n">
        <v>1</v>
      </c>
      <c r="J43" s="84" t="n">
        <v>1</v>
      </c>
      <c r="K43" s="84" t="n">
        <v>0</v>
      </c>
      <c r="L43" s="84" t="n">
        <v>0</v>
      </c>
      <c r="M43" s="83" t="n">
        <v>1</v>
      </c>
      <c r="N43" s="84" t="n">
        <v>0</v>
      </c>
      <c r="O43" s="84" t="n">
        <v>0</v>
      </c>
      <c r="P43" s="84" t="n">
        <v>0</v>
      </c>
      <c r="Q43" s="84" t="n">
        <v>0</v>
      </c>
      <c r="R43" s="83" t="n">
        <v>0</v>
      </c>
      <c r="S43" s="84" t="n">
        <v>0</v>
      </c>
      <c r="T43" s="84" t="n">
        <v>0</v>
      </c>
      <c r="U43" s="84" t="n">
        <v>3</v>
      </c>
      <c r="V43" s="84" t="n">
        <v>0</v>
      </c>
      <c r="W43" s="65" t="n">
        <f aca="false">SUM(C43:V43)</f>
        <v>13</v>
      </c>
      <c r="X43" s="85" t="n">
        <f aca="false">IFERROR(W43/W83,0)</f>
        <v>0.0142387732749179</v>
      </c>
    </row>
    <row r="44" customFormat="false" ht="15" hidden="false" customHeight="true" outlineLevel="0" collapsed="false">
      <c r="A44" s="81"/>
      <c r="B44" s="82" t="s">
        <v>92</v>
      </c>
      <c r="C44" s="83" t="n">
        <v>1</v>
      </c>
      <c r="D44" s="84" t="n">
        <v>0</v>
      </c>
      <c r="E44" s="84" t="n">
        <v>3</v>
      </c>
      <c r="F44" s="84" t="n">
        <v>4</v>
      </c>
      <c r="G44" s="84" t="n">
        <v>0</v>
      </c>
      <c r="H44" s="83" t="n">
        <v>0</v>
      </c>
      <c r="I44" s="84" t="n">
        <v>2</v>
      </c>
      <c r="J44" s="84" t="n">
        <v>0</v>
      </c>
      <c r="K44" s="84" t="n">
        <v>0</v>
      </c>
      <c r="L44" s="84" t="n">
        <v>3</v>
      </c>
      <c r="M44" s="83" t="n">
        <v>2</v>
      </c>
      <c r="N44" s="84" t="n">
        <v>2</v>
      </c>
      <c r="O44" s="84" t="n">
        <v>0</v>
      </c>
      <c r="P44" s="84" t="n">
        <v>0</v>
      </c>
      <c r="Q44" s="84" t="n">
        <v>2</v>
      </c>
      <c r="R44" s="83" t="n">
        <v>0</v>
      </c>
      <c r="S44" s="84" t="n">
        <v>0</v>
      </c>
      <c r="T44" s="84" t="n">
        <v>0</v>
      </c>
      <c r="U44" s="84" t="n">
        <v>1</v>
      </c>
      <c r="V44" s="84" t="n">
        <v>1</v>
      </c>
      <c r="W44" s="65" t="n">
        <f aca="false">SUM(C44:V44)</f>
        <v>21</v>
      </c>
      <c r="X44" s="85" t="n">
        <f aca="false">IFERROR(W44/W83,0)</f>
        <v>0.0230010952902519</v>
      </c>
    </row>
    <row r="45" customFormat="false" ht="15" hidden="false" customHeight="true" outlineLevel="0" collapsed="false">
      <c r="A45" s="81"/>
      <c r="B45" s="82" t="s">
        <v>93</v>
      </c>
      <c r="C45" s="83" t="n">
        <v>4</v>
      </c>
      <c r="D45" s="84" t="n">
        <v>0</v>
      </c>
      <c r="E45" s="84" t="n">
        <v>3</v>
      </c>
      <c r="F45" s="84" t="n">
        <v>3</v>
      </c>
      <c r="G45" s="84" t="n">
        <v>5</v>
      </c>
      <c r="H45" s="83" t="n">
        <v>1</v>
      </c>
      <c r="I45" s="84" t="n">
        <v>3</v>
      </c>
      <c r="J45" s="84" t="n">
        <v>1</v>
      </c>
      <c r="K45" s="84" t="n">
        <v>1</v>
      </c>
      <c r="L45" s="84" t="n">
        <v>4</v>
      </c>
      <c r="M45" s="83" t="n">
        <v>2</v>
      </c>
      <c r="N45" s="84" t="n">
        <v>0</v>
      </c>
      <c r="O45" s="84" t="n">
        <v>0</v>
      </c>
      <c r="P45" s="84" t="n">
        <v>1</v>
      </c>
      <c r="Q45" s="84" t="n">
        <v>0</v>
      </c>
      <c r="R45" s="83" t="n">
        <v>0</v>
      </c>
      <c r="S45" s="84" t="n">
        <v>0</v>
      </c>
      <c r="T45" s="84" t="n">
        <v>0</v>
      </c>
      <c r="U45" s="84" t="n">
        <v>2</v>
      </c>
      <c r="V45" s="84" t="n">
        <v>1</v>
      </c>
      <c r="W45" s="65" t="n">
        <f aca="false">SUM(C45:V45)</f>
        <v>31</v>
      </c>
      <c r="X45" s="85" t="n">
        <f aca="false">IFERROR(W45/W83,0)</f>
        <v>0.0339539978094195</v>
      </c>
    </row>
    <row r="46" customFormat="false" ht="15" hidden="false" customHeight="true" outlineLevel="0" collapsed="false">
      <c r="A46" s="81" t="s">
        <v>94</v>
      </c>
      <c r="B46" s="82" t="s">
        <v>95</v>
      </c>
      <c r="C46" s="83" t="n">
        <v>1</v>
      </c>
      <c r="D46" s="84" t="n">
        <v>1</v>
      </c>
      <c r="E46" s="84" t="n">
        <v>6</v>
      </c>
      <c r="F46" s="84" t="n">
        <v>4</v>
      </c>
      <c r="G46" s="84" t="n">
        <v>2</v>
      </c>
      <c r="H46" s="83" t="n">
        <v>5</v>
      </c>
      <c r="I46" s="84" t="n">
        <v>10</v>
      </c>
      <c r="J46" s="84" t="n">
        <v>2</v>
      </c>
      <c r="K46" s="84" t="n">
        <v>0</v>
      </c>
      <c r="L46" s="84" t="n">
        <v>4</v>
      </c>
      <c r="M46" s="83" t="n">
        <v>6</v>
      </c>
      <c r="N46" s="84" t="n">
        <v>2</v>
      </c>
      <c r="O46" s="84" t="n">
        <v>0</v>
      </c>
      <c r="P46" s="84" t="n">
        <v>9</v>
      </c>
      <c r="Q46" s="84" t="n">
        <v>2</v>
      </c>
      <c r="R46" s="83" t="n">
        <v>0</v>
      </c>
      <c r="S46" s="84" t="n">
        <v>0</v>
      </c>
      <c r="T46" s="84" t="n">
        <v>0</v>
      </c>
      <c r="U46" s="84" t="n">
        <v>3</v>
      </c>
      <c r="V46" s="84" t="n">
        <v>3</v>
      </c>
      <c r="W46" s="65" t="n">
        <f aca="false">SUM(C46:V46)</f>
        <v>60</v>
      </c>
      <c r="X46" s="85" t="n">
        <f aca="false">IFERROR(W46/W83,0)</f>
        <v>0.0657174151150055</v>
      </c>
    </row>
    <row r="47" customFormat="false" ht="15" hidden="false" customHeight="true" outlineLevel="0" collapsed="false">
      <c r="A47" s="81"/>
      <c r="B47" s="82" t="s">
        <v>96</v>
      </c>
      <c r="C47" s="83" t="n">
        <v>0</v>
      </c>
      <c r="D47" s="84" t="n">
        <v>0</v>
      </c>
      <c r="E47" s="84" t="n">
        <v>0</v>
      </c>
      <c r="F47" s="84" t="n">
        <v>0</v>
      </c>
      <c r="G47" s="84" t="n">
        <v>1</v>
      </c>
      <c r="H47" s="83" t="n">
        <v>0</v>
      </c>
      <c r="I47" s="84" t="n">
        <v>0</v>
      </c>
      <c r="J47" s="84" t="n">
        <v>0</v>
      </c>
      <c r="K47" s="84" t="n">
        <v>0</v>
      </c>
      <c r="L47" s="84" t="n">
        <v>0</v>
      </c>
      <c r="M47" s="83" t="n">
        <v>1</v>
      </c>
      <c r="N47" s="84" t="n">
        <v>0</v>
      </c>
      <c r="O47" s="84" t="n">
        <v>0</v>
      </c>
      <c r="P47" s="84" t="n">
        <v>3</v>
      </c>
      <c r="Q47" s="84" t="n">
        <v>1</v>
      </c>
      <c r="R47" s="83" t="n">
        <v>0</v>
      </c>
      <c r="S47" s="84" t="n">
        <v>0</v>
      </c>
      <c r="T47" s="84" t="n">
        <v>0</v>
      </c>
      <c r="U47" s="84" t="n">
        <v>1</v>
      </c>
      <c r="V47" s="84" t="n">
        <v>0</v>
      </c>
      <c r="W47" s="65" t="n">
        <f aca="false">SUM(C47:V47)</f>
        <v>7</v>
      </c>
      <c r="X47" s="85" t="n">
        <f aca="false">IFERROR(W47/W83,0)</f>
        <v>0.00766703176341731</v>
      </c>
    </row>
    <row r="48" customFormat="false" ht="15" hidden="false" customHeight="true" outlineLevel="0" collapsed="false">
      <c r="A48" s="81"/>
      <c r="B48" s="82" t="s">
        <v>97</v>
      </c>
      <c r="C48" s="83" t="n">
        <v>1</v>
      </c>
      <c r="D48" s="84" t="n">
        <v>1</v>
      </c>
      <c r="E48" s="84" t="n">
        <v>0</v>
      </c>
      <c r="F48" s="84" t="n">
        <v>1</v>
      </c>
      <c r="G48" s="84" t="n">
        <v>2</v>
      </c>
      <c r="H48" s="83" t="n">
        <v>0</v>
      </c>
      <c r="I48" s="84" t="n">
        <v>0</v>
      </c>
      <c r="J48" s="84" t="n">
        <v>1</v>
      </c>
      <c r="K48" s="84" t="n">
        <v>0</v>
      </c>
      <c r="L48" s="84" t="n">
        <v>2</v>
      </c>
      <c r="M48" s="83" t="n">
        <v>1</v>
      </c>
      <c r="N48" s="84" t="n">
        <v>1</v>
      </c>
      <c r="O48" s="84" t="n">
        <v>0</v>
      </c>
      <c r="P48" s="84" t="n">
        <v>5</v>
      </c>
      <c r="Q48" s="84" t="n">
        <v>4</v>
      </c>
      <c r="R48" s="83" t="n">
        <v>0</v>
      </c>
      <c r="S48" s="84" t="n">
        <v>0</v>
      </c>
      <c r="T48" s="84" t="n">
        <v>0</v>
      </c>
      <c r="U48" s="84" t="n">
        <v>0</v>
      </c>
      <c r="V48" s="84" t="n">
        <v>0</v>
      </c>
      <c r="W48" s="65" t="n">
        <f aca="false">SUM(C48:V48)</f>
        <v>19</v>
      </c>
      <c r="X48" s="85" t="n">
        <f aca="false">IFERROR(W48/W83,0)</f>
        <v>0.0208105147864184</v>
      </c>
    </row>
    <row r="49" customFormat="false" ht="15" hidden="false" customHeight="true" outlineLevel="0" collapsed="false">
      <c r="A49" s="81"/>
      <c r="B49" s="82" t="s">
        <v>98</v>
      </c>
      <c r="C49" s="83" t="n">
        <v>1</v>
      </c>
      <c r="D49" s="84" t="n">
        <v>0</v>
      </c>
      <c r="E49" s="84" t="n">
        <v>0</v>
      </c>
      <c r="F49" s="84" t="n">
        <v>5</v>
      </c>
      <c r="G49" s="84" t="n">
        <v>5</v>
      </c>
      <c r="H49" s="83" t="n">
        <v>1</v>
      </c>
      <c r="I49" s="84" t="n">
        <v>3</v>
      </c>
      <c r="J49" s="84" t="n">
        <v>0</v>
      </c>
      <c r="K49" s="84" t="n">
        <v>5</v>
      </c>
      <c r="L49" s="84" t="n">
        <v>1</v>
      </c>
      <c r="M49" s="83" t="n">
        <v>2</v>
      </c>
      <c r="N49" s="84" t="n">
        <v>2</v>
      </c>
      <c r="O49" s="84" t="n">
        <v>0</v>
      </c>
      <c r="P49" s="84" t="n">
        <v>9</v>
      </c>
      <c r="Q49" s="84" t="n">
        <v>4</v>
      </c>
      <c r="R49" s="83" t="n">
        <v>0</v>
      </c>
      <c r="S49" s="84" t="n">
        <v>0</v>
      </c>
      <c r="T49" s="84" t="n">
        <v>0</v>
      </c>
      <c r="U49" s="84" t="n">
        <v>5</v>
      </c>
      <c r="V49" s="84" t="n">
        <v>0</v>
      </c>
      <c r="W49" s="65" t="n">
        <f aca="false">SUM(C49:V49)</f>
        <v>43</v>
      </c>
      <c r="X49" s="85" t="n">
        <f aca="false">IFERROR(W49/W83,0)</f>
        <v>0.0470974808324206</v>
      </c>
    </row>
    <row r="50" customFormat="false" ht="15" hidden="false" customHeight="true" outlineLevel="0" collapsed="false">
      <c r="A50" s="81" t="s">
        <v>99</v>
      </c>
      <c r="B50" s="82" t="s">
        <v>100</v>
      </c>
      <c r="C50" s="83" t="n">
        <v>2</v>
      </c>
      <c r="D50" s="84" t="n">
        <v>0</v>
      </c>
      <c r="E50" s="84" t="n">
        <v>2</v>
      </c>
      <c r="F50" s="84" t="n">
        <v>3</v>
      </c>
      <c r="G50" s="84" t="n">
        <v>2</v>
      </c>
      <c r="H50" s="83" t="n">
        <v>1</v>
      </c>
      <c r="I50" s="84" t="n">
        <v>3</v>
      </c>
      <c r="J50" s="84" t="n">
        <v>0</v>
      </c>
      <c r="K50" s="84" t="n">
        <v>1</v>
      </c>
      <c r="L50" s="84" t="n">
        <v>2</v>
      </c>
      <c r="M50" s="83" t="n">
        <v>1</v>
      </c>
      <c r="N50" s="84" t="n">
        <v>1</v>
      </c>
      <c r="O50" s="84" t="n">
        <v>0</v>
      </c>
      <c r="P50" s="84" t="n">
        <v>2</v>
      </c>
      <c r="Q50" s="84" t="n">
        <v>2</v>
      </c>
      <c r="R50" s="83" t="n">
        <v>0</v>
      </c>
      <c r="S50" s="84" t="n">
        <v>0</v>
      </c>
      <c r="T50" s="84" t="n">
        <v>0</v>
      </c>
      <c r="U50" s="84" t="n">
        <v>0</v>
      </c>
      <c r="V50" s="84" t="n">
        <v>3</v>
      </c>
      <c r="W50" s="65" t="n">
        <f aca="false">SUM(C50:V50)</f>
        <v>25</v>
      </c>
      <c r="X50" s="85" t="n">
        <f aca="false">IFERROR(W50/W83,0)</f>
        <v>0.0273822562979189</v>
      </c>
    </row>
    <row r="51" customFormat="false" ht="15" hidden="false" customHeight="true" outlineLevel="0" collapsed="false">
      <c r="A51" s="81"/>
      <c r="B51" s="82" t="s">
        <v>101</v>
      </c>
      <c r="C51" s="83" t="n">
        <v>8</v>
      </c>
      <c r="D51" s="84" t="n">
        <v>1</v>
      </c>
      <c r="E51" s="84" t="n">
        <v>7</v>
      </c>
      <c r="F51" s="84" t="n">
        <v>18</v>
      </c>
      <c r="G51" s="84" t="n">
        <v>12</v>
      </c>
      <c r="H51" s="83" t="n">
        <v>7</v>
      </c>
      <c r="I51" s="84" t="n">
        <v>8</v>
      </c>
      <c r="J51" s="84" t="n">
        <v>9</v>
      </c>
      <c r="K51" s="84" t="n">
        <v>9</v>
      </c>
      <c r="L51" s="84" t="n">
        <v>4</v>
      </c>
      <c r="M51" s="83" t="n">
        <v>2</v>
      </c>
      <c r="N51" s="84" t="n">
        <v>8</v>
      </c>
      <c r="O51" s="84" t="n">
        <v>0</v>
      </c>
      <c r="P51" s="84" t="n">
        <v>8</v>
      </c>
      <c r="Q51" s="84" t="n">
        <v>6</v>
      </c>
      <c r="R51" s="83" t="n">
        <v>0</v>
      </c>
      <c r="S51" s="84" t="n">
        <v>0</v>
      </c>
      <c r="T51" s="84" t="n">
        <v>0</v>
      </c>
      <c r="U51" s="84" t="n">
        <v>4</v>
      </c>
      <c r="V51" s="84" t="n">
        <v>7</v>
      </c>
      <c r="W51" s="65" t="n">
        <f aca="false">SUM(C51:V51)</f>
        <v>118</v>
      </c>
      <c r="X51" s="85" t="n">
        <f aca="false">IFERROR(W51/W83,0)</f>
        <v>0.129244249726177</v>
      </c>
    </row>
    <row r="52" customFormat="false" ht="15" hidden="false" customHeight="true" outlineLevel="0" collapsed="false">
      <c r="A52" s="81"/>
      <c r="B52" s="82" t="s">
        <v>102</v>
      </c>
      <c r="C52" s="83" t="n">
        <v>0</v>
      </c>
      <c r="D52" s="84" t="n">
        <v>0</v>
      </c>
      <c r="E52" s="84" t="n">
        <v>4</v>
      </c>
      <c r="F52" s="84" t="n">
        <v>3</v>
      </c>
      <c r="G52" s="84" t="n">
        <v>3</v>
      </c>
      <c r="H52" s="83" t="n">
        <v>0</v>
      </c>
      <c r="I52" s="84" t="n">
        <v>3</v>
      </c>
      <c r="J52" s="84" t="n">
        <v>2</v>
      </c>
      <c r="K52" s="84" t="n">
        <v>3</v>
      </c>
      <c r="L52" s="84" t="n">
        <v>2</v>
      </c>
      <c r="M52" s="83" t="n">
        <v>0</v>
      </c>
      <c r="N52" s="84" t="n">
        <v>3</v>
      </c>
      <c r="O52" s="84" t="n">
        <v>0</v>
      </c>
      <c r="P52" s="84" t="n">
        <v>5</v>
      </c>
      <c r="Q52" s="84" t="n">
        <v>6</v>
      </c>
      <c r="R52" s="83" t="n">
        <v>0</v>
      </c>
      <c r="S52" s="84" t="n">
        <v>0</v>
      </c>
      <c r="T52" s="84" t="n">
        <v>0</v>
      </c>
      <c r="U52" s="84" t="n">
        <v>1</v>
      </c>
      <c r="V52" s="84" t="n">
        <v>0</v>
      </c>
      <c r="W52" s="65" t="n">
        <f aca="false">SUM(C52:V52)</f>
        <v>35</v>
      </c>
      <c r="X52" s="85" t="n">
        <f aca="false">IFERROR(W52/W83,0)</f>
        <v>0.0383351588170865</v>
      </c>
    </row>
    <row r="53" customFormat="false" ht="15" hidden="false" customHeight="true" outlineLevel="0" collapsed="false">
      <c r="A53" s="81"/>
      <c r="B53" s="82" t="s">
        <v>103</v>
      </c>
      <c r="C53" s="83" t="n">
        <v>1</v>
      </c>
      <c r="D53" s="84" t="n">
        <v>0</v>
      </c>
      <c r="E53" s="84" t="n">
        <v>1</v>
      </c>
      <c r="F53" s="84" t="n">
        <v>0</v>
      </c>
      <c r="G53" s="84" t="n">
        <v>2</v>
      </c>
      <c r="H53" s="83" t="n">
        <v>0</v>
      </c>
      <c r="I53" s="84" t="n">
        <v>0</v>
      </c>
      <c r="J53" s="84" t="n">
        <v>1</v>
      </c>
      <c r="K53" s="84" t="n">
        <v>1</v>
      </c>
      <c r="L53" s="84" t="n">
        <v>2</v>
      </c>
      <c r="M53" s="83" t="n">
        <v>0</v>
      </c>
      <c r="N53" s="84" t="n">
        <v>0</v>
      </c>
      <c r="O53" s="84" t="n">
        <v>0</v>
      </c>
      <c r="P53" s="84" t="n">
        <v>2</v>
      </c>
      <c r="Q53" s="84" t="n">
        <v>3</v>
      </c>
      <c r="R53" s="83" t="n">
        <v>0</v>
      </c>
      <c r="S53" s="84" t="n">
        <v>0</v>
      </c>
      <c r="T53" s="84" t="n">
        <v>0</v>
      </c>
      <c r="U53" s="84" t="n">
        <v>1</v>
      </c>
      <c r="V53" s="84" t="n">
        <v>0</v>
      </c>
      <c r="W53" s="65" t="n">
        <f aca="false">SUM(C53:V53)</f>
        <v>14</v>
      </c>
      <c r="X53" s="85" t="n">
        <f aca="false">IFERROR(W53/W83,0)</f>
        <v>0.0153340635268346</v>
      </c>
    </row>
    <row r="54" customFormat="false" ht="15" hidden="false" customHeight="true" outlineLevel="0" collapsed="false">
      <c r="A54" s="86" t="s">
        <v>104</v>
      </c>
      <c r="B54" s="82" t="s">
        <v>105</v>
      </c>
      <c r="C54" s="83" t="n">
        <v>0</v>
      </c>
      <c r="D54" s="86" t="n">
        <v>0</v>
      </c>
      <c r="E54" s="86" t="n">
        <v>0</v>
      </c>
      <c r="F54" s="86" t="n">
        <v>0</v>
      </c>
      <c r="G54" s="86" t="n">
        <v>0</v>
      </c>
      <c r="H54" s="83" t="n">
        <v>0</v>
      </c>
      <c r="I54" s="86" t="n">
        <v>0</v>
      </c>
      <c r="J54" s="86" t="n">
        <v>0</v>
      </c>
      <c r="K54" s="86" t="n">
        <v>0</v>
      </c>
      <c r="L54" s="86" t="n">
        <v>0</v>
      </c>
      <c r="M54" s="83" t="n">
        <v>0</v>
      </c>
      <c r="N54" s="86" t="n">
        <v>0</v>
      </c>
      <c r="O54" s="86" t="n">
        <v>0</v>
      </c>
      <c r="P54" s="86" t="n">
        <v>0</v>
      </c>
      <c r="Q54" s="86" t="n">
        <v>0</v>
      </c>
      <c r="R54" s="83" t="n">
        <v>0</v>
      </c>
      <c r="S54" s="86" t="n">
        <v>0</v>
      </c>
      <c r="T54" s="86" t="n">
        <v>0</v>
      </c>
      <c r="U54" s="86" t="n">
        <v>0</v>
      </c>
      <c r="V54" s="86" t="n">
        <v>0</v>
      </c>
      <c r="W54" s="65" t="n">
        <f aca="false">SUM(C54:V54)</f>
        <v>0</v>
      </c>
      <c r="X54" s="85" t="n">
        <f aca="false">IFERROR(W54/W83,0)</f>
        <v>0</v>
      </c>
    </row>
    <row r="55" customFormat="false" ht="15" hidden="false" customHeight="true" outlineLevel="0" collapsed="false">
      <c r="A55" s="86" t="s">
        <v>106</v>
      </c>
      <c r="B55" s="82" t="s">
        <v>107</v>
      </c>
      <c r="C55" s="83" t="n">
        <v>0</v>
      </c>
      <c r="D55" s="86" t="n">
        <v>0</v>
      </c>
      <c r="E55" s="86" t="n">
        <v>0</v>
      </c>
      <c r="F55" s="86" t="n">
        <v>0</v>
      </c>
      <c r="G55" s="86" t="n">
        <v>1</v>
      </c>
      <c r="H55" s="83" t="n">
        <v>0</v>
      </c>
      <c r="I55" s="86" t="n">
        <v>1</v>
      </c>
      <c r="J55" s="86" t="n">
        <v>0</v>
      </c>
      <c r="K55" s="86" t="n">
        <v>0</v>
      </c>
      <c r="L55" s="86" t="n">
        <v>0</v>
      </c>
      <c r="M55" s="83" t="n">
        <v>1</v>
      </c>
      <c r="N55" s="86" t="n">
        <v>0</v>
      </c>
      <c r="O55" s="86" t="n">
        <v>0</v>
      </c>
      <c r="P55" s="86" t="n">
        <v>0</v>
      </c>
      <c r="Q55" s="86" t="n">
        <v>0</v>
      </c>
      <c r="R55" s="83" t="n">
        <v>0</v>
      </c>
      <c r="S55" s="86" t="n">
        <v>0</v>
      </c>
      <c r="T55" s="86" t="n">
        <v>0</v>
      </c>
      <c r="U55" s="86" t="n">
        <v>0</v>
      </c>
      <c r="V55" s="86" t="n">
        <v>0</v>
      </c>
      <c r="W55" s="65" t="n">
        <f aca="false">SUM(C55:V55)</f>
        <v>3</v>
      </c>
      <c r="X55" s="85" t="n">
        <f aca="false">IFERROR(W55/W83,0)</f>
        <v>0.00328587075575027</v>
      </c>
    </row>
    <row r="56" customFormat="false" ht="15" hidden="false" customHeight="true" outlineLevel="0" collapsed="false">
      <c r="A56" s="86" t="s">
        <v>108</v>
      </c>
      <c r="B56" s="82" t="s">
        <v>109</v>
      </c>
      <c r="C56" s="83" t="n">
        <v>0</v>
      </c>
      <c r="D56" s="86" t="n">
        <v>0</v>
      </c>
      <c r="E56" s="86" t="n">
        <v>0</v>
      </c>
      <c r="F56" s="86" t="n">
        <v>0</v>
      </c>
      <c r="G56" s="86" t="n">
        <v>0</v>
      </c>
      <c r="H56" s="83" t="n">
        <v>0</v>
      </c>
      <c r="I56" s="86" t="n">
        <v>0</v>
      </c>
      <c r="J56" s="86" t="n">
        <v>0</v>
      </c>
      <c r="K56" s="86" t="n">
        <v>0</v>
      </c>
      <c r="L56" s="86" t="n">
        <v>0</v>
      </c>
      <c r="M56" s="83" t="n">
        <v>0</v>
      </c>
      <c r="N56" s="86" t="n">
        <v>0</v>
      </c>
      <c r="O56" s="86" t="n">
        <v>0</v>
      </c>
      <c r="P56" s="86" t="n">
        <v>1</v>
      </c>
      <c r="Q56" s="86" t="n">
        <v>0</v>
      </c>
      <c r="R56" s="83" t="n">
        <v>0</v>
      </c>
      <c r="S56" s="86" t="n">
        <v>0</v>
      </c>
      <c r="T56" s="86" t="n">
        <v>0</v>
      </c>
      <c r="U56" s="86" t="n">
        <v>0</v>
      </c>
      <c r="V56" s="86" t="n">
        <v>0</v>
      </c>
      <c r="W56" s="65" t="n">
        <f aca="false">SUM(C56:V56)</f>
        <v>1</v>
      </c>
      <c r="X56" s="85" t="n">
        <f aca="false">IFERROR(W56/W83,0)</f>
        <v>0.00109529025191676</v>
      </c>
    </row>
    <row r="57" customFormat="false" ht="15" hidden="false" customHeight="true" outlineLevel="0" collapsed="false">
      <c r="A57" s="86" t="s">
        <v>110</v>
      </c>
      <c r="B57" s="82" t="s">
        <v>65</v>
      </c>
      <c r="C57" s="83" t="n">
        <v>0</v>
      </c>
      <c r="D57" s="86" t="n">
        <v>0</v>
      </c>
      <c r="E57" s="86" t="n">
        <v>1</v>
      </c>
      <c r="F57" s="86" t="n">
        <v>0</v>
      </c>
      <c r="G57" s="86" t="n">
        <v>0</v>
      </c>
      <c r="H57" s="83" t="n">
        <v>0</v>
      </c>
      <c r="I57" s="86" t="n">
        <v>0</v>
      </c>
      <c r="J57" s="86" t="n">
        <v>0</v>
      </c>
      <c r="K57" s="86" t="n">
        <v>2</v>
      </c>
      <c r="L57" s="86" t="n">
        <v>0</v>
      </c>
      <c r="M57" s="83" t="n">
        <v>0</v>
      </c>
      <c r="N57" s="86" t="n">
        <v>0</v>
      </c>
      <c r="O57" s="86" t="n">
        <v>0</v>
      </c>
      <c r="P57" s="86" t="n">
        <v>2</v>
      </c>
      <c r="Q57" s="86" t="n">
        <v>0</v>
      </c>
      <c r="R57" s="83" t="n">
        <v>0</v>
      </c>
      <c r="S57" s="86" t="n">
        <v>0</v>
      </c>
      <c r="T57" s="86" t="n">
        <v>0</v>
      </c>
      <c r="U57" s="86" t="n">
        <v>0</v>
      </c>
      <c r="V57" s="86" t="n">
        <v>1</v>
      </c>
      <c r="W57" s="65" t="n">
        <f aca="false">SUM(C57:V57)</f>
        <v>6</v>
      </c>
      <c r="X57" s="85" t="n">
        <f aca="false">IFERROR(W57/W83,0)</f>
        <v>0.00657174151150055</v>
      </c>
    </row>
    <row r="58" customFormat="false" ht="15" hidden="false" customHeight="true" outlineLevel="0" collapsed="false">
      <c r="A58" s="81" t="s">
        <v>111</v>
      </c>
      <c r="B58" s="82" t="s">
        <v>112</v>
      </c>
      <c r="C58" s="83" t="n">
        <v>0</v>
      </c>
      <c r="D58" s="86" t="n">
        <v>0</v>
      </c>
      <c r="E58" s="86" t="n">
        <v>1</v>
      </c>
      <c r="F58" s="86" t="n">
        <v>0</v>
      </c>
      <c r="G58" s="86" t="n">
        <v>3</v>
      </c>
      <c r="H58" s="83" t="n">
        <v>0</v>
      </c>
      <c r="I58" s="86" t="n">
        <v>0</v>
      </c>
      <c r="J58" s="86" t="n">
        <v>3</v>
      </c>
      <c r="K58" s="86" t="n">
        <v>0</v>
      </c>
      <c r="L58" s="86" t="n">
        <v>0</v>
      </c>
      <c r="M58" s="83" t="n">
        <v>0</v>
      </c>
      <c r="N58" s="86" t="n">
        <v>1</v>
      </c>
      <c r="O58" s="86" t="n">
        <v>0</v>
      </c>
      <c r="P58" s="86" t="n">
        <v>0</v>
      </c>
      <c r="Q58" s="86" t="n">
        <v>1</v>
      </c>
      <c r="R58" s="83" t="n">
        <v>0</v>
      </c>
      <c r="S58" s="86" t="n">
        <v>0</v>
      </c>
      <c r="T58" s="86" t="n">
        <v>0</v>
      </c>
      <c r="U58" s="86" t="n">
        <v>1</v>
      </c>
      <c r="V58" s="86" t="n">
        <v>2</v>
      </c>
      <c r="W58" s="65" t="n">
        <f aca="false">SUM(C58:V58)</f>
        <v>12</v>
      </c>
      <c r="X58" s="85" t="n">
        <f aca="false">IFERROR(W58/W83,0)</f>
        <v>0.0131434830230011</v>
      </c>
    </row>
    <row r="59" customFormat="false" ht="15" hidden="false" customHeight="true" outlineLevel="0" collapsed="false">
      <c r="A59" s="81"/>
      <c r="B59" s="82" t="s">
        <v>113</v>
      </c>
      <c r="C59" s="83" t="n">
        <v>1</v>
      </c>
      <c r="D59" s="86" t="n">
        <v>0</v>
      </c>
      <c r="E59" s="86" t="n">
        <v>2</v>
      </c>
      <c r="F59" s="86" t="n">
        <v>1</v>
      </c>
      <c r="G59" s="86" t="n">
        <v>2</v>
      </c>
      <c r="H59" s="83" t="n">
        <v>1</v>
      </c>
      <c r="I59" s="86" t="n">
        <v>2</v>
      </c>
      <c r="J59" s="86" t="n">
        <v>1</v>
      </c>
      <c r="K59" s="86" t="n">
        <v>4</v>
      </c>
      <c r="L59" s="86" t="n">
        <v>2</v>
      </c>
      <c r="M59" s="83" t="n">
        <v>0</v>
      </c>
      <c r="N59" s="86" t="n">
        <v>0</v>
      </c>
      <c r="O59" s="86" t="n">
        <v>0</v>
      </c>
      <c r="P59" s="86" t="n">
        <v>2</v>
      </c>
      <c r="Q59" s="86" t="n">
        <v>0</v>
      </c>
      <c r="R59" s="83" t="n">
        <v>0</v>
      </c>
      <c r="S59" s="86" t="n">
        <v>0</v>
      </c>
      <c r="T59" s="86" t="n">
        <v>0</v>
      </c>
      <c r="U59" s="86" t="n">
        <v>1</v>
      </c>
      <c r="V59" s="86" t="n">
        <v>2</v>
      </c>
      <c r="W59" s="65" t="n">
        <f aca="false">SUM(C59:V59)</f>
        <v>21</v>
      </c>
      <c r="X59" s="85" t="n">
        <f aca="false">IFERROR(W59/W83,0)</f>
        <v>0.0230010952902519</v>
      </c>
    </row>
    <row r="60" customFormat="false" ht="15" hidden="false" customHeight="true" outlineLevel="0" collapsed="false">
      <c r="A60" s="81"/>
      <c r="B60" s="82" t="s">
        <v>114</v>
      </c>
      <c r="C60" s="83" t="n">
        <v>2</v>
      </c>
      <c r="D60" s="86" t="n">
        <v>0</v>
      </c>
      <c r="E60" s="86" t="n">
        <v>0</v>
      </c>
      <c r="F60" s="86" t="n">
        <v>0</v>
      </c>
      <c r="G60" s="86" t="n">
        <v>1</v>
      </c>
      <c r="H60" s="83" t="n">
        <v>0</v>
      </c>
      <c r="I60" s="86" t="n">
        <v>0</v>
      </c>
      <c r="J60" s="86" t="n">
        <v>0</v>
      </c>
      <c r="K60" s="86" t="n">
        <v>1</v>
      </c>
      <c r="L60" s="86" t="n">
        <v>0</v>
      </c>
      <c r="M60" s="83" t="n">
        <v>0</v>
      </c>
      <c r="N60" s="86" t="n">
        <v>0</v>
      </c>
      <c r="O60" s="86" t="n">
        <v>0</v>
      </c>
      <c r="P60" s="86" t="n">
        <v>0</v>
      </c>
      <c r="Q60" s="86" t="n">
        <v>0</v>
      </c>
      <c r="R60" s="83" t="n">
        <v>0</v>
      </c>
      <c r="S60" s="86" t="n">
        <v>0</v>
      </c>
      <c r="T60" s="86" t="n">
        <v>0</v>
      </c>
      <c r="U60" s="86" t="n">
        <v>1</v>
      </c>
      <c r="V60" s="86" t="n">
        <v>0</v>
      </c>
      <c r="W60" s="65" t="n">
        <f aca="false">SUM(C60:V60)</f>
        <v>5</v>
      </c>
      <c r="X60" s="85" t="n">
        <f aca="false">IFERROR(W60/W83,0)</f>
        <v>0.00547645125958379</v>
      </c>
    </row>
    <row r="61" customFormat="false" ht="15" hidden="false" customHeight="true" outlineLevel="0" collapsed="false">
      <c r="A61" s="81"/>
      <c r="B61" s="82" t="s">
        <v>115</v>
      </c>
      <c r="C61" s="83" t="n">
        <v>0</v>
      </c>
      <c r="D61" s="86" t="n">
        <v>0</v>
      </c>
      <c r="E61" s="86" t="n">
        <v>0</v>
      </c>
      <c r="F61" s="86" t="n">
        <v>0</v>
      </c>
      <c r="G61" s="86" t="n">
        <v>0</v>
      </c>
      <c r="H61" s="83" t="n">
        <v>0</v>
      </c>
      <c r="I61" s="86" t="n">
        <v>0</v>
      </c>
      <c r="J61" s="86" t="n">
        <v>0</v>
      </c>
      <c r="K61" s="86" t="n">
        <v>0</v>
      </c>
      <c r="L61" s="86" t="n">
        <v>0</v>
      </c>
      <c r="M61" s="83" t="n">
        <v>0</v>
      </c>
      <c r="N61" s="86" t="n">
        <v>0</v>
      </c>
      <c r="O61" s="86" t="n">
        <v>0</v>
      </c>
      <c r="P61" s="86" t="n">
        <v>0</v>
      </c>
      <c r="Q61" s="86" t="n">
        <v>0</v>
      </c>
      <c r="R61" s="83" t="n">
        <v>0</v>
      </c>
      <c r="S61" s="86" t="n">
        <v>0</v>
      </c>
      <c r="T61" s="86" t="n">
        <v>0</v>
      </c>
      <c r="U61" s="86" t="n">
        <v>0</v>
      </c>
      <c r="V61" s="86" t="n">
        <v>0</v>
      </c>
      <c r="W61" s="65" t="n">
        <f aca="false">SUM(C61:V61)</f>
        <v>0</v>
      </c>
      <c r="X61" s="85" t="n">
        <f aca="false">IFERROR(W61/W83,0)</f>
        <v>0</v>
      </c>
    </row>
    <row r="62" customFormat="false" ht="15" hidden="false" customHeight="true" outlineLevel="0" collapsed="false">
      <c r="A62" s="81"/>
      <c r="B62" s="82" t="s">
        <v>116</v>
      </c>
      <c r="C62" s="83" t="n">
        <v>0</v>
      </c>
      <c r="D62" s="86" t="n">
        <v>0</v>
      </c>
      <c r="E62" s="86" t="n">
        <v>0</v>
      </c>
      <c r="F62" s="86" t="n">
        <v>2</v>
      </c>
      <c r="G62" s="86" t="n">
        <v>1</v>
      </c>
      <c r="H62" s="83" t="n">
        <v>1</v>
      </c>
      <c r="I62" s="86" t="n">
        <v>2</v>
      </c>
      <c r="J62" s="86" t="n">
        <v>0</v>
      </c>
      <c r="K62" s="86" t="n">
        <v>0</v>
      </c>
      <c r="L62" s="86" t="n">
        <v>0</v>
      </c>
      <c r="M62" s="83" t="n">
        <v>3</v>
      </c>
      <c r="N62" s="86" t="n">
        <v>1</v>
      </c>
      <c r="O62" s="86" t="n">
        <v>0</v>
      </c>
      <c r="P62" s="86" t="n">
        <v>3</v>
      </c>
      <c r="Q62" s="86" t="n">
        <v>1</v>
      </c>
      <c r="R62" s="83" t="n">
        <v>0</v>
      </c>
      <c r="S62" s="86" t="n">
        <v>0</v>
      </c>
      <c r="T62" s="86" t="n">
        <v>0</v>
      </c>
      <c r="U62" s="86" t="n">
        <v>1</v>
      </c>
      <c r="V62" s="86" t="n">
        <v>5</v>
      </c>
      <c r="W62" s="65" t="n">
        <f aca="false">SUM(C62:V62)</f>
        <v>20</v>
      </c>
      <c r="X62" s="85" t="n">
        <f aca="false">IFERROR(W62/W83,0)</f>
        <v>0.0219058050383352</v>
      </c>
    </row>
    <row r="63" customFormat="false" ht="15" hidden="false" customHeight="true" outlineLevel="0" collapsed="false">
      <c r="A63" s="81"/>
      <c r="B63" s="82" t="s">
        <v>117</v>
      </c>
      <c r="C63" s="83" t="n">
        <v>4</v>
      </c>
      <c r="D63" s="86" t="n">
        <v>2</v>
      </c>
      <c r="E63" s="86" t="n">
        <v>18</v>
      </c>
      <c r="F63" s="86" t="n">
        <v>6</v>
      </c>
      <c r="G63" s="86" t="n">
        <v>20</v>
      </c>
      <c r="H63" s="83" t="n">
        <v>10</v>
      </c>
      <c r="I63" s="86" t="n">
        <v>14</v>
      </c>
      <c r="J63" s="86" t="n">
        <v>2</v>
      </c>
      <c r="K63" s="86" t="n">
        <v>6</v>
      </c>
      <c r="L63" s="86" t="n">
        <v>16</v>
      </c>
      <c r="M63" s="83" t="n">
        <v>13</v>
      </c>
      <c r="N63" s="86" t="n">
        <v>4</v>
      </c>
      <c r="O63" s="86" t="n">
        <v>0</v>
      </c>
      <c r="P63" s="86" t="n">
        <v>6</v>
      </c>
      <c r="Q63" s="86" t="n">
        <v>4</v>
      </c>
      <c r="R63" s="83" t="n">
        <v>0</v>
      </c>
      <c r="S63" s="86" t="n">
        <v>0</v>
      </c>
      <c r="T63" s="86" t="n">
        <v>0</v>
      </c>
      <c r="U63" s="86" t="n">
        <v>10</v>
      </c>
      <c r="V63" s="86" t="n">
        <v>13</v>
      </c>
      <c r="W63" s="65" t="n">
        <f aca="false">SUM(C63:V63)</f>
        <v>148</v>
      </c>
      <c r="X63" s="85" t="n">
        <f aca="false">IFERROR(W63/W83,0)</f>
        <v>0.16210295728368</v>
      </c>
    </row>
    <row r="64" customFormat="false" ht="15" hidden="false" customHeight="true" outlineLevel="0" collapsed="false">
      <c r="A64" s="81"/>
      <c r="B64" s="82" t="s">
        <v>118</v>
      </c>
      <c r="C64" s="83" t="n">
        <v>5</v>
      </c>
      <c r="D64" s="86" t="n">
        <v>6</v>
      </c>
      <c r="E64" s="86" t="n">
        <v>5</v>
      </c>
      <c r="F64" s="86" t="n">
        <v>3</v>
      </c>
      <c r="G64" s="86" t="n">
        <v>7</v>
      </c>
      <c r="H64" s="83" t="n">
        <v>7</v>
      </c>
      <c r="I64" s="86" t="n">
        <v>12</v>
      </c>
      <c r="J64" s="86" t="n">
        <v>2</v>
      </c>
      <c r="K64" s="86" t="n">
        <v>3</v>
      </c>
      <c r="L64" s="86" t="n">
        <v>7</v>
      </c>
      <c r="M64" s="83" t="n">
        <v>4</v>
      </c>
      <c r="N64" s="86" t="n">
        <v>8</v>
      </c>
      <c r="O64" s="86" t="n">
        <v>0</v>
      </c>
      <c r="P64" s="86" t="n">
        <v>5</v>
      </c>
      <c r="Q64" s="86" t="n">
        <v>4</v>
      </c>
      <c r="R64" s="83" t="n">
        <v>0</v>
      </c>
      <c r="S64" s="86" t="n">
        <v>0</v>
      </c>
      <c r="T64" s="86" t="n">
        <v>0</v>
      </c>
      <c r="U64" s="86" t="n">
        <v>6</v>
      </c>
      <c r="V64" s="86" t="n">
        <v>4</v>
      </c>
      <c r="W64" s="65" t="n">
        <f aca="false">SUM(C64:V64)</f>
        <v>88</v>
      </c>
      <c r="X64" s="85" t="n">
        <f aca="false">IFERROR(W64/W83,0)</f>
        <v>0.0963855421686747</v>
      </c>
    </row>
    <row r="65" customFormat="false" ht="15" hidden="false" customHeight="true" outlineLevel="0" collapsed="false">
      <c r="A65" s="81"/>
      <c r="B65" s="82" t="s">
        <v>119</v>
      </c>
      <c r="C65" s="83" t="n">
        <v>1</v>
      </c>
      <c r="D65" s="86" t="n">
        <v>0</v>
      </c>
      <c r="E65" s="86" t="n">
        <v>0</v>
      </c>
      <c r="F65" s="86" t="n">
        <v>0</v>
      </c>
      <c r="G65" s="86" t="n">
        <v>0</v>
      </c>
      <c r="H65" s="83" t="n">
        <v>0</v>
      </c>
      <c r="I65" s="86" t="n">
        <v>0</v>
      </c>
      <c r="J65" s="86" t="n">
        <v>0</v>
      </c>
      <c r="K65" s="86" t="n">
        <v>0</v>
      </c>
      <c r="L65" s="86" t="n">
        <v>0</v>
      </c>
      <c r="M65" s="83" t="n">
        <v>0</v>
      </c>
      <c r="N65" s="86" t="n">
        <v>0</v>
      </c>
      <c r="O65" s="86" t="n">
        <v>0</v>
      </c>
      <c r="P65" s="86" t="n">
        <v>0</v>
      </c>
      <c r="Q65" s="86" t="n">
        <v>0</v>
      </c>
      <c r="R65" s="83" t="n">
        <v>0</v>
      </c>
      <c r="S65" s="86" t="n">
        <v>0</v>
      </c>
      <c r="T65" s="86" t="n">
        <v>0</v>
      </c>
      <c r="U65" s="86" t="n">
        <v>0</v>
      </c>
      <c r="V65" s="86" t="n">
        <v>1</v>
      </c>
      <c r="W65" s="65" t="n">
        <f aca="false">SUM(C65:V65)</f>
        <v>2</v>
      </c>
      <c r="X65" s="85" t="n">
        <f aca="false">IFERROR(W65/W83,0)</f>
        <v>0.00219058050383352</v>
      </c>
    </row>
    <row r="66" customFormat="false" ht="15" hidden="false" customHeight="true" outlineLevel="0" collapsed="false">
      <c r="A66" s="81"/>
      <c r="B66" s="82" t="s">
        <v>120</v>
      </c>
      <c r="C66" s="83" t="n">
        <v>0</v>
      </c>
      <c r="D66" s="86" t="n">
        <v>0</v>
      </c>
      <c r="E66" s="86" t="n">
        <v>0</v>
      </c>
      <c r="F66" s="86" t="n">
        <v>0</v>
      </c>
      <c r="G66" s="86" t="n">
        <v>0</v>
      </c>
      <c r="H66" s="83" t="n">
        <v>0</v>
      </c>
      <c r="I66" s="86" t="n">
        <v>0</v>
      </c>
      <c r="J66" s="86" t="n">
        <v>0</v>
      </c>
      <c r="K66" s="86" t="n">
        <v>0</v>
      </c>
      <c r="L66" s="86" t="n">
        <v>0</v>
      </c>
      <c r="M66" s="83" t="n">
        <v>0</v>
      </c>
      <c r="N66" s="86" t="n">
        <v>0</v>
      </c>
      <c r="O66" s="86" t="n">
        <v>0</v>
      </c>
      <c r="P66" s="86" t="n">
        <v>0</v>
      </c>
      <c r="Q66" s="86" t="n">
        <v>0</v>
      </c>
      <c r="R66" s="83" t="n">
        <v>0</v>
      </c>
      <c r="S66" s="86" t="n">
        <v>0</v>
      </c>
      <c r="T66" s="86" t="n">
        <v>0</v>
      </c>
      <c r="U66" s="86" t="n">
        <v>0</v>
      </c>
      <c r="V66" s="86" t="n">
        <v>0</v>
      </c>
      <c r="W66" s="65" t="n">
        <f aca="false">SUM(C66:V66)</f>
        <v>0</v>
      </c>
      <c r="X66" s="85" t="n">
        <f aca="false">IFERROR(W66/W83,0)</f>
        <v>0</v>
      </c>
    </row>
    <row r="67" customFormat="false" ht="15" hidden="false" customHeight="true" outlineLevel="0" collapsed="false">
      <c r="A67" s="81"/>
      <c r="B67" s="82" t="s">
        <v>121</v>
      </c>
      <c r="C67" s="83" t="n">
        <v>0</v>
      </c>
      <c r="D67" s="86" t="n">
        <v>0</v>
      </c>
      <c r="E67" s="86" t="n">
        <v>0</v>
      </c>
      <c r="F67" s="86" t="n">
        <v>0</v>
      </c>
      <c r="G67" s="86" t="n">
        <v>0</v>
      </c>
      <c r="H67" s="83" t="n">
        <v>0</v>
      </c>
      <c r="I67" s="86" t="n">
        <v>0</v>
      </c>
      <c r="J67" s="86" t="n">
        <v>0</v>
      </c>
      <c r="K67" s="86" t="n">
        <v>0</v>
      </c>
      <c r="L67" s="86" t="n">
        <v>0</v>
      </c>
      <c r="M67" s="83" t="n">
        <v>0</v>
      </c>
      <c r="N67" s="86" t="n">
        <v>0</v>
      </c>
      <c r="O67" s="86" t="n">
        <v>0</v>
      </c>
      <c r="P67" s="86" t="n">
        <v>0</v>
      </c>
      <c r="Q67" s="86" t="n">
        <v>0</v>
      </c>
      <c r="R67" s="83" t="n">
        <v>0</v>
      </c>
      <c r="S67" s="86" t="n">
        <v>0</v>
      </c>
      <c r="T67" s="86" t="n">
        <v>0</v>
      </c>
      <c r="U67" s="86" t="n">
        <v>0</v>
      </c>
      <c r="V67" s="86" t="n">
        <v>0</v>
      </c>
      <c r="W67" s="65" t="n">
        <f aca="false">SUM(C67:V67)</f>
        <v>0</v>
      </c>
      <c r="X67" s="85" t="n">
        <f aca="false">IFERROR(W67/W83,0)</f>
        <v>0</v>
      </c>
    </row>
    <row r="68" customFormat="false" ht="15" hidden="false" customHeight="true" outlineLevel="0" collapsed="false">
      <c r="A68" s="81"/>
      <c r="B68" s="82" t="s">
        <v>122</v>
      </c>
      <c r="C68" s="83" t="n">
        <v>0</v>
      </c>
      <c r="D68" s="86" t="n">
        <v>0</v>
      </c>
      <c r="E68" s="86" t="n">
        <v>0</v>
      </c>
      <c r="F68" s="86" t="n">
        <v>0</v>
      </c>
      <c r="G68" s="86" t="n">
        <v>0</v>
      </c>
      <c r="H68" s="83" t="n">
        <v>0</v>
      </c>
      <c r="I68" s="86" t="n">
        <v>0</v>
      </c>
      <c r="J68" s="86" t="n">
        <v>0</v>
      </c>
      <c r="K68" s="86" t="n">
        <v>0</v>
      </c>
      <c r="L68" s="86" t="n">
        <v>0</v>
      </c>
      <c r="M68" s="83" t="n">
        <v>0</v>
      </c>
      <c r="N68" s="86" t="n">
        <v>0</v>
      </c>
      <c r="O68" s="86" t="n">
        <v>0</v>
      </c>
      <c r="P68" s="86" t="n">
        <v>0</v>
      </c>
      <c r="Q68" s="86" t="n">
        <v>0</v>
      </c>
      <c r="R68" s="83" t="n">
        <v>0</v>
      </c>
      <c r="S68" s="86" t="n">
        <v>0</v>
      </c>
      <c r="T68" s="86" t="n">
        <v>0</v>
      </c>
      <c r="U68" s="86" t="n">
        <v>0</v>
      </c>
      <c r="V68" s="86" t="n">
        <v>0</v>
      </c>
      <c r="W68" s="65" t="n">
        <f aca="false">SUM(C68:V68)</f>
        <v>0</v>
      </c>
      <c r="X68" s="85" t="n">
        <f aca="false">IFERROR(W68/W83,0)</f>
        <v>0</v>
      </c>
    </row>
    <row r="69" customFormat="false" ht="15" hidden="false" customHeight="true" outlineLevel="0" collapsed="false">
      <c r="A69" s="81"/>
      <c r="B69" s="82" t="s">
        <v>123</v>
      </c>
      <c r="C69" s="83" t="n">
        <v>1</v>
      </c>
      <c r="D69" s="86" t="n">
        <v>0</v>
      </c>
      <c r="E69" s="86" t="n">
        <v>1</v>
      </c>
      <c r="F69" s="86" t="n">
        <v>0</v>
      </c>
      <c r="G69" s="86" t="n">
        <v>1</v>
      </c>
      <c r="H69" s="83" t="n">
        <v>0</v>
      </c>
      <c r="I69" s="86" t="n">
        <v>0</v>
      </c>
      <c r="J69" s="86" t="n">
        <v>0</v>
      </c>
      <c r="K69" s="86" t="n">
        <v>0</v>
      </c>
      <c r="L69" s="86" t="n">
        <v>0</v>
      </c>
      <c r="M69" s="83" t="n">
        <v>0</v>
      </c>
      <c r="N69" s="86" t="n">
        <v>1</v>
      </c>
      <c r="O69" s="86" t="n">
        <v>0</v>
      </c>
      <c r="P69" s="86" t="n">
        <v>0</v>
      </c>
      <c r="Q69" s="86" t="n">
        <v>0</v>
      </c>
      <c r="R69" s="83" t="n">
        <v>0</v>
      </c>
      <c r="S69" s="86" t="n">
        <v>0</v>
      </c>
      <c r="T69" s="86" t="n">
        <v>0</v>
      </c>
      <c r="U69" s="86" t="n">
        <v>0</v>
      </c>
      <c r="V69" s="86" t="n">
        <v>0</v>
      </c>
      <c r="W69" s="65" t="n">
        <f aca="false">SUM(C69:V69)</f>
        <v>4</v>
      </c>
      <c r="X69" s="85" t="n">
        <f aca="false">IFERROR(W69/W83,0)</f>
        <v>0.00438116100766703</v>
      </c>
    </row>
    <row r="70" customFormat="false" ht="15" hidden="false" customHeight="true" outlineLevel="0" collapsed="false">
      <c r="A70" s="81" t="s">
        <v>124</v>
      </c>
      <c r="B70" s="82" t="s">
        <v>125</v>
      </c>
      <c r="C70" s="83" t="n">
        <v>1</v>
      </c>
      <c r="D70" s="86" t="n">
        <v>0</v>
      </c>
      <c r="E70" s="86" t="n">
        <v>5</v>
      </c>
      <c r="F70" s="86" t="n">
        <v>1</v>
      </c>
      <c r="G70" s="86" t="n">
        <v>2</v>
      </c>
      <c r="H70" s="83" t="n">
        <v>0</v>
      </c>
      <c r="I70" s="86" t="n">
        <v>0</v>
      </c>
      <c r="J70" s="86" t="n">
        <v>0</v>
      </c>
      <c r="K70" s="86" t="n">
        <v>0</v>
      </c>
      <c r="L70" s="86" t="n">
        <v>0</v>
      </c>
      <c r="M70" s="83" t="n">
        <v>0</v>
      </c>
      <c r="N70" s="86" t="n">
        <v>0</v>
      </c>
      <c r="O70" s="86" t="n">
        <v>0</v>
      </c>
      <c r="P70" s="86" t="n">
        <v>0</v>
      </c>
      <c r="Q70" s="86" t="n">
        <v>0</v>
      </c>
      <c r="R70" s="83" t="n">
        <v>0</v>
      </c>
      <c r="S70" s="86" t="n">
        <v>0</v>
      </c>
      <c r="T70" s="86" t="n">
        <v>0</v>
      </c>
      <c r="U70" s="86" t="n">
        <v>0</v>
      </c>
      <c r="V70" s="86" t="n">
        <v>0</v>
      </c>
      <c r="W70" s="65" t="n">
        <f aca="false">SUM(C70:V70)</f>
        <v>9</v>
      </c>
      <c r="X70" s="85" t="n">
        <f aca="false">IFERROR(W70/W83,0)</f>
        <v>0.00985761226725082</v>
      </c>
    </row>
    <row r="71" customFormat="false" ht="15" hidden="false" customHeight="true" outlineLevel="0" collapsed="false">
      <c r="A71" s="81"/>
      <c r="B71" s="82" t="s">
        <v>126</v>
      </c>
      <c r="C71" s="83" t="n">
        <v>0</v>
      </c>
      <c r="D71" s="86" t="n">
        <v>0</v>
      </c>
      <c r="E71" s="86" t="n">
        <v>0</v>
      </c>
      <c r="F71" s="86" t="n">
        <v>0</v>
      </c>
      <c r="G71" s="86" t="n">
        <v>0</v>
      </c>
      <c r="H71" s="83" t="n">
        <v>0</v>
      </c>
      <c r="I71" s="86" t="n">
        <v>0</v>
      </c>
      <c r="J71" s="86" t="n">
        <v>0</v>
      </c>
      <c r="K71" s="86" t="n">
        <v>0</v>
      </c>
      <c r="L71" s="86" t="n">
        <v>0</v>
      </c>
      <c r="M71" s="83" t="n">
        <v>0</v>
      </c>
      <c r="N71" s="86" t="n">
        <v>0</v>
      </c>
      <c r="O71" s="86" t="n">
        <v>0</v>
      </c>
      <c r="P71" s="86" t="n">
        <v>0</v>
      </c>
      <c r="Q71" s="86" t="n">
        <v>0</v>
      </c>
      <c r="R71" s="83" t="n">
        <v>0</v>
      </c>
      <c r="S71" s="86" t="n">
        <v>0</v>
      </c>
      <c r="T71" s="86" t="n">
        <v>0</v>
      </c>
      <c r="U71" s="86" t="n">
        <v>0</v>
      </c>
      <c r="V71" s="86" t="n">
        <v>0</v>
      </c>
      <c r="W71" s="65" t="n">
        <f aca="false">SUM(C71:V71)</f>
        <v>0</v>
      </c>
      <c r="X71" s="85" t="n">
        <f aca="false">IFERROR(W71/W83,0)</f>
        <v>0</v>
      </c>
    </row>
    <row r="72" customFormat="false" ht="15" hidden="false" customHeight="true" outlineLevel="0" collapsed="false">
      <c r="A72" s="86" t="s">
        <v>127</v>
      </c>
      <c r="B72" s="82" t="s">
        <v>65</v>
      </c>
      <c r="C72" s="83" t="n">
        <v>0</v>
      </c>
      <c r="D72" s="86" t="n">
        <v>1</v>
      </c>
      <c r="E72" s="86" t="n">
        <v>0</v>
      </c>
      <c r="F72" s="86" t="n">
        <v>0</v>
      </c>
      <c r="G72" s="86" t="n">
        <v>0</v>
      </c>
      <c r="H72" s="83" t="n">
        <v>0</v>
      </c>
      <c r="I72" s="86" t="n">
        <v>0</v>
      </c>
      <c r="J72" s="86" t="n">
        <v>0</v>
      </c>
      <c r="K72" s="86" t="n">
        <v>0</v>
      </c>
      <c r="L72" s="86" t="n">
        <v>0</v>
      </c>
      <c r="M72" s="83" t="n">
        <v>0</v>
      </c>
      <c r="N72" s="86" t="n">
        <v>1</v>
      </c>
      <c r="O72" s="86" t="n">
        <v>0</v>
      </c>
      <c r="P72" s="86" t="n">
        <v>1</v>
      </c>
      <c r="Q72" s="86" t="n">
        <v>0</v>
      </c>
      <c r="R72" s="83" t="n">
        <v>0</v>
      </c>
      <c r="S72" s="86" t="n">
        <v>0</v>
      </c>
      <c r="T72" s="86" t="n">
        <v>0</v>
      </c>
      <c r="U72" s="86" t="n">
        <v>0</v>
      </c>
      <c r="V72" s="86" t="n">
        <v>0</v>
      </c>
      <c r="W72" s="65" t="n">
        <f aca="false">SUM(C72:V72)</f>
        <v>3</v>
      </c>
      <c r="X72" s="85" t="n">
        <f aca="false">IFERROR(W72/W83,0)</f>
        <v>0.00328587075575027</v>
      </c>
    </row>
    <row r="73" customFormat="false" ht="15" hidden="false" customHeight="true" outlineLevel="0" collapsed="false">
      <c r="A73" s="81" t="s">
        <v>65</v>
      </c>
      <c r="B73" s="82" t="s">
        <v>65</v>
      </c>
      <c r="C73" s="83" t="n">
        <v>1</v>
      </c>
      <c r="D73" s="86" t="n">
        <v>1</v>
      </c>
      <c r="E73" s="86" t="n">
        <v>3</v>
      </c>
      <c r="F73" s="86" t="n">
        <v>1</v>
      </c>
      <c r="G73" s="86" t="n">
        <v>2</v>
      </c>
      <c r="H73" s="83" t="n">
        <v>1</v>
      </c>
      <c r="I73" s="86" t="n">
        <v>2</v>
      </c>
      <c r="J73" s="86" t="n">
        <v>2</v>
      </c>
      <c r="K73" s="86" t="n">
        <v>2</v>
      </c>
      <c r="L73" s="86" t="n">
        <v>1</v>
      </c>
      <c r="M73" s="83" t="n">
        <v>2</v>
      </c>
      <c r="N73" s="86" t="n">
        <v>1</v>
      </c>
      <c r="O73" s="86" t="n">
        <v>0</v>
      </c>
      <c r="P73" s="86" t="n">
        <v>1</v>
      </c>
      <c r="Q73" s="86" t="n">
        <v>1</v>
      </c>
      <c r="R73" s="83" t="n">
        <v>0</v>
      </c>
      <c r="S73" s="86" t="n">
        <v>0</v>
      </c>
      <c r="T73" s="86" t="n">
        <v>0</v>
      </c>
      <c r="U73" s="86" t="n">
        <v>1</v>
      </c>
      <c r="V73" s="86" t="n">
        <v>1</v>
      </c>
      <c r="W73" s="65" t="n">
        <f aca="false">SUM(C73:V73)</f>
        <v>23</v>
      </c>
      <c r="X73" s="85" t="n">
        <f aca="false">IFERROR(W73/W83,0)</f>
        <v>0.0251916757940854</v>
      </c>
    </row>
    <row r="74" customFormat="false" ht="15" hidden="false" customHeight="true" outlineLevel="0" collapsed="false">
      <c r="A74" s="81"/>
      <c r="B74" s="82" t="s">
        <v>128</v>
      </c>
      <c r="C74" s="83" t="n">
        <v>0</v>
      </c>
      <c r="D74" s="86" t="n">
        <v>0</v>
      </c>
      <c r="E74" s="86" t="n">
        <v>0</v>
      </c>
      <c r="F74" s="86" t="n">
        <v>0</v>
      </c>
      <c r="G74" s="86" t="n">
        <v>0</v>
      </c>
      <c r="H74" s="83" t="n">
        <v>0</v>
      </c>
      <c r="I74" s="86" t="n">
        <v>0</v>
      </c>
      <c r="J74" s="86" t="n">
        <v>0</v>
      </c>
      <c r="K74" s="86" t="n">
        <v>0</v>
      </c>
      <c r="L74" s="86" t="n">
        <v>0</v>
      </c>
      <c r="M74" s="83" t="n">
        <v>0</v>
      </c>
      <c r="N74" s="86" t="n">
        <v>0</v>
      </c>
      <c r="O74" s="86" t="n">
        <v>0</v>
      </c>
      <c r="P74" s="86" t="n">
        <v>0</v>
      </c>
      <c r="Q74" s="86" t="n">
        <v>0</v>
      </c>
      <c r="R74" s="83" t="n">
        <v>0</v>
      </c>
      <c r="S74" s="86" t="n">
        <v>0</v>
      </c>
      <c r="T74" s="86" t="n">
        <v>0</v>
      </c>
      <c r="U74" s="86" t="n">
        <v>0</v>
      </c>
      <c r="V74" s="86" t="n">
        <v>0</v>
      </c>
      <c r="W74" s="65" t="n">
        <f aca="false">SUM(C74:V74)</f>
        <v>0</v>
      </c>
      <c r="X74" s="85" t="n">
        <f aca="false">IFERROR(W74/W83,0)</f>
        <v>0</v>
      </c>
    </row>
    <row r="75" customFormat="false" ht="15" hidden="false" customHeight="true" outlineLevel="0" collapsed="false">
      <c r="A75" s="81" t="s">
        <v>129</v>
      </c>
      <c r="B75" s="82" t="s">
        <v>130</v>
      </c>
      <c r="C75" s="83" t="n">
        <v>0</v>
      </c>
      <c r="D75" s="86" t="n">
        <v>0</v>
      </c>
      <c r="E75" s="86" t="n">
        <v>0</v>
      </c>
      <c r="F75" s="86" t="n">
        <v>0</v>
      </c>
      <c r="G75" s="86" t="n">
        <v>0</v>
      </c>
      <c r="H75" s="83" t="n">
        <v>0</v>
      </c>
      <c r="I75" s="86" t="n">
        <v>0</v>
      </c>
      <c r="J75" s="86" t="n">
        <v>0</v>
      </c>
      <c r="K75" s="86" t="n">
        <v>0</v>
      </c>
      <c r="L75" s="86" t="n">
        <v>0</v>
      </c>
      <c r="M75" s="83" t="n">
        <v>0</v>
      </c>
      <c r="N75" s="86" t="n">
        <v>0</v>
      </c>
      <c r="O75" s="86" t="n">
        <v>0</v>
      </c>
      <c r="P75" s="86" t="n">
        <v>0</v>
      </c>
      <c r="Q75" s="86" t="n">
        <v>0</v>
      </c>
      <c r="R75" s="83" t="n">
        <v>0</v>
      </c>
      <c r="S75" s="86" t="n">
        <v>0</v>
      </c>
      <c r="T75" s="86" t="n">
        <v>0</v>
      </c>
      <c r="U75" s="86" t="n">
        <v>0</v>
      </c>
      <c r="V75" s="86" t="n">
        <v>0</v>
      </c>
      <c r="W75" s="65" t="n">
        <f aca="false">SUM(C75:V75)</f>
        <v>0</v>
      </c>
      <c r="X75" s="85" t="n">
        <f aca="false">IFERROR(W75/W83,0)</f>
        <v>0</v>
      </c>
    </row>
    <row r="76" customFormat="false" ht="15" hidden="false" customHeight="true" outlineLevel="0" collapsed="false">
      <c r="A76" s="81"/>
      <c r="B76" s="82" t="s">
        <v>131</v>
      </c>
      <c r="C76" s="83" t="n">
        <v>0</v>
      </c>
      <c r="D76" s="86" t="n">
        <v>0</v>
      </c>
      <c r="E76" s="86" t="n">
        <v>0</v>
      </c>
      <c r="F76" s="86" t="n">
        <v>0</v>
      </c>
      <c r="G76" s="86" t="n">
        <v>0</v>
      </c>
      <c r="H76" s="83" t="n">
        <v>0</v>
      </c>
      <c r="I76" s="86" t="n">
        <v>0</v>
      </c>
      <c r="J76" s="86" t="n">
        <v>0</v>
      </c>
      <c r="K76" s="86" t="n">
        <v>0</v>
      </c>
      <c r="L76" s="86" t="n">
        <v>0</v>
      </c>
      <c r="M76" s="83" t="n">
        <v>0</v>
      </c>
      <c r="N76" s="86" t="n">
        <v>0</v>
      </c>
      <c r="O76" s="86" t="n">
        <v>0</v>
      </c>
      <c r="P76" s="86" t="n">
        <v>0</v>
      </c>
      <c r="Q76" s="86" t="n">
        <v>0</v>
      </c>
      <c r="R76" s="83" t="n">
        <v>0</v>
      </c>
      <c r="S76" s="86" t="n">
        <v>0</v>
      </c>
      <c r="T76" s="86" t="n">
        <v>0</v>
      </c>
      <c r="U76" s="86" t="n">
        <v>0</v>
      </c>
      <c r="V76" s="86" t="n">
        <v>0</v>
      </c>
      <c r="W76" s="65" t="n">
        <f aca="false">SUM(C76:V76)</f>
        <v>0</v>
      </c>
      <c r="X76" s="85" t="n">
        <f aca="false">IFERROR(W76/W83,0)</f>
        <v>0</v>
      </c>
    </row>
    <row r="77" customFormat="false" ht="15" hidden="false" customHeight="true" outlineLevel="0" collapsed="false">
      <c r="A77" s="81"/>
      <c r="B77" s="82" t="s">
        <v>132</v>
      </c>
      <c r="C77" s="83" t="n">
        <v>7</v>
      </c>
      <c r="D77" s="86" t="n">
        <v>16</v>
      </c>
      <c r="E77" s="86" t="n">
        <v>0</v>
      </c>
      <c r="F77" s="86" t="n">
        <v>4</v>
      </c>
      <c r="G77" s="86" t="n">
        <v>0</v>
      </c>
      <c r="H77" s="83" t="n">
        <v>0</v>
      </c>
      <c r="I77" s="86" t="n">
        <v>13</v>
      </c>
      <c r="J77" s="86" t="n">
        <v>0</v>
      </c>
      <c r="K77" s="86" t="n">
        <v>0</v>
      </c>
      <c r="L77" s="86" t="n">
        <v>2</v>
      </c>
      <c r="M77" s="83" t="n">
        <v>2</v>
      </c>
      <c r="N77" s="86" t="n">
        <v>1</v>
      </c>
      <c r="O77" s="86" t="n">
        <v>0</v>
      </c>
      <c r="P77" s="86" t="n">
        <v>1</v>
      </c>
      <c r="Q77" s="86" t="n">
        <v>0</v>
      </c>
      <c r="R77" s="83" t="n">
        <v>0</v>
      </c>
      <c r="S77" s="86" t="n">
        <v>0</v>
      </c>
      <c r="T77" s="86" t="n">
        <v>0</v>
      </c>
      <c r="U77" s="86" t="n">
        <v>1</v>
      </c>
      <c r="V77" s="86" t="n">
        <v>1</v>
      </c>
      <c r="W77" s="65" t="n">
        <f aca="false">SUM(C77:V77)</f>
        <v>48</v>
      </c>
      <c r="X77" s="85" t="n">
        <f aca="false">IFERROR(W77/W83,0)</f>
        <v>0.0525739320920044</v>
      </c>
    </row>
    <row r="78" customFormat="false" ht="15" hidden="false" customHeight="true" outlineLevel="0" collapsed="false">
      <c r="A78" s="81"/>
      <c r="B78" s="82" t="s">
        <v>133</v>
      </c>
      <c r="C78" s="83" t="n">
        <v>1</v>
      </c>
      <c r="D78" s="86" t="n">
        <v>1</v>
      </c>
      <c r="E78" s="86" t="n">
        <v>0</v>
      </c>
      <c r="F78" s="86" t="n">
        <v>3</v>
      </c>
      <c r="G78" s="86" t="n">
        <v>0</v>
      </c>
      <c r="H78" s="83" t="n">
        <v>1</v>
      </c>
      <c r="I78" s="86" t="n">
        <v>0</v>
      </c>
      <c r="J78" s="86" t="n">
        <v>2</v>
      </c>
      <c r="K78" s="86" t="n">
        <v>0</v>
      </c>
      <c r="L78" s="86" t="n">
        <v>0</v>
      </c>
      <c r="M78" s="83" t="n">
        <v>0</v>
      </c>
      <c r="N78" s="86" t="n">
        <v>0</v>
      </c>
      <c r="O78" s="86" t="n">
        <v>0</v>
      </c>
      <c r="P78" s="86" t="n">
        <v>0</v>
      </c>
      <c r="Q78" s="86" t="n">
        <v>0</v>
      </c>
      <c r="R78" s="83" t="n">
        <v>0</v>
      </c>
      <c r="S78" s="86" t="n">
        <v>0</v>
      </c>
      <c r="T78" s="86" t="n">
        <v>0</v>
      </c>
      <c r="U78" s="86" t="n">
        <v>0</v>
      </c>
      <c r="V78" s="86" t="n">
        <v>0</v>
      </c>
      <c r="W78" s="65" t="n">
        <f aca="false">SUM(C78:V78)</f>
        <v>8</v>
      </c>
      <c r="X78" s="85" t="n">
        <f aca="false">IFERROR(W78/W83,0)</f>
        <v>0.00876232201533406</v>
      </c>
    </row>
    <row r="79" customFormat="false" ht="15" hidden="false" customHeight="true" outlineLevel="0" collapsed="false">
      <c r="A79" s="81"/>
      <c r="B79" s="82" t="s">
        <v>134</v>
      </c>
      <c r="C79" s="83" t="n">
        <v>0</v>
      </c>
      <c r="D79" s="86" t="n">
        <v>0</v>
      </c>
      <c r="E79" s="86" t="n">
        <v>0</v>
      </c>
      <c r="F79" s="86" t="n">
        <v>0</v>
      </c>
      <c r="G79" s="86" t="n">
        <v>0</v>
      </c>
      <c r="H79" s="83" t="n">
        <v>0</v>
      </c>
      <c r="I79" s="86" t="n">
        <v>0</v>
      </c>
      <c r="J79" s="86" t="n">
        <v>0</v>
      </c>
      <c r="K79" s="86" t="n">
        <v>0</v>
      </c>
      <c r="L79" s="86" t="n">
        <v>0</v>
      </c>
      <c r="M79" s="83" t="n">
        <v>0</v>
      </c>
      <c r="N79" s="86" t="n">
        <v>0</v>
      </c>
      <c r="O79" s="86" t="n">
        <v>0</v>
      </c>
      <c r="P79" s="86" t="n">
        <v>0</v>
      </c>
      <c r="Q79" s="86" t="n">
        <v>0</v>
      </c>
      <c r="R79" s="83" t="n">
        <v>0</v>
      </c>
      <c r="S79" s="86" t="n">
        <v>0</v>
      </c>
      <c r="T79" s="86" t="n">
        <v>0</v>
      </c>
      <c r="U79" s="86" t="n">
        <v>0</v>
      </c>
      <c r="V79" s="86" t="n">
        <v>0</v>
      </c>
      <c r="W79" s="65" t="n">
        <f aca="false">SUM(C79:V79)</f>
        <v>0</v>
      </c>
      <c r="X79" s="85" t="n">
        <f aca="false">IFERROR(W79/W83,0)</f>
        <v>0</v>
      </c>
    </row>
    <row r="80" customFormat="false" ht="15" hidden="false" customHeight="true" outlineLevel="0" collapsed="false">
      <c r="A80" s="81"/>
      <c r="B80" s="82" t="s">
        <v>135</v>
      </c>
      <c r="C80" s="83" t="n">
        <v>0</v>
      </c>
      <c r="D80" s="86" t="n">
        <v>1</v>
      </c>
      <c r="E80" s="86" t="n">
        <v>0</v>
      </c>
      <c r="F80" s="86" t="n">
        <v>0</v>
      </c>
      <c r="G80" s="86" t="n">
        <v>1</v>
      </c>
      <c r="H80" s="83" t="n">
        <v>0</v>
      </c>
      <c r="I80" s="86" t="n">
        <v>0</v>
      </c>
      <c r="J80" s="86" t="n">
        <v>0</v>
      </c>
      <c r="K80" s="86" t="n">
        <v>0</v>
      </c>
      <c r="L80" s="86" t="n">
        <v>0</v>
      </c>
      <c r="M80" s="83" t="n">
        <v>1</v>
      </c>
      <c r="N80" s="86" t="n">
        <v>0</v>
      </c>
      <c r="O80" s="86" t="n">
        <v>0</v>
      </c>
      <c r="P80" s="86" t="n">
        <v>0</v>
      </c>
      <c r="Q80" s="86" t="n">
        <v>0</v>
      </c>
      <c r="R80" s="83" t="n">
        <v>0</v>
      </c>
      <c r="S80" s="86" t="n">
        <v>0</v>
      </c>
      <c r="T80" s="86" t="n">
        <v>0</v>
      </c>
      <c r="U80" s="86" t="n">
        <v>1</v>
      </c>
      <c r="V80" s="86" t="n">
        <v>1</v>
      </c>
      <c r="W80" s="65" t="n">
        <f aca="false">SUM(C80:V80)</f>
        <v>5</v>
      </c>
      <c r="X80" s="85" t="n">
        <f aca="false">IFERROR(W80/W83,0)</f>
        <v>0.00547645125958379</v>
      </c>
    </row>
    <row r="81" customFormat="false" ht="15" hidden="false" customHeight="true" outlineLevel="0" collapsed="false">
      <c r="A81" s="81"/>
      <c r="B81" s="82" t="s">
        <v>136</v>
      </c>
      <c r="C81" s="83" t="n">
        <v>0</v>
      </c>
      <c r="D81" s="86" t="n">
        <v>0</v>
      </c>
      <c r="E81" s="86" t="n">
        <v>0</v>
      </c>
      <c r="F81" s="86" t="n">
        <v>0</v>
      </c>
      <c r="G81" s="86" t="n">
        <v>0</v>
      </c>
      <c r="H81" s="83" t="n">
        <v>0</v>
      </c>
      <c r="I81" s="86" t="n">
        <v>0</v>
      </c>
      <c r="J81" s="86" t="n">
        <v>0</v>
      </c>
      <c r="K81" s="86" t="n">
        <v>0</v>
      </c>
      <c r="L81" s="86" t="n">
        <v>1</v>
      </c>
      <c r="M81" s="83" t="n">
        <v>0</v>
      </c>
      <c r="N81" s="86" t="n">
        <v>0</v>
      </c>
      <c r="O81" s="86" t="n">
        <v>0</v>
      </c>
      <c r="P81" s="86" t="n">
        <v>0</v>
      </c>
      <c r="Q81" s="86" t="n">
        <v>0</v>
      </c>
      <c r="R81" s="83" t="n">
        <v>0</v>
      </c>
      <c r="S81" s="86" t="n">
        <v>0</v>
      </c>
      <c r="T81" s="86" t="n">
        <v>0</v>
      </c>
      <c r="U81" s="86" t="n">
        <v>0</v>
      </c>
      <c r="V81" s="86" t="n">
        <v>0</v>
      </c>
      <c r="W81" s="65" t="n">
        <f aca="false">SUM(C81:V81)</f>
        <v>1</v>
      </c>
      <c r="X81" s="85" t="n">
        <f aca="false">IFERROR(W81/W83,0)</f>
        <v>0.00109529025191676</v>
      </c>
    </row>
    <row r="82" customFormat="false" ht="15" hidden="false" customHeight="true" outlineLevel="0" collapsed="false">
      <c r="A82" s="81"/>
      <c r="B82" s="82" t="s">
        <v>65</v>
      </c>
      <c r="C82" s="83" t="n">
        <v>0</v>
      </c>
      <c r="D82" s="86" t="n">
        <v>0</v>
      </c>
      <c r="E82" s="86" t="n">
        <v>1</v>
      </c>
      <c r="F82" s="86" t="n">
        <v>1</v>
      </c>
      <c r="G82" s="86" t="n">
        <v>0</v>
      </c>
      <c r="H82" s="83" t="n">
        <v>1</v>
      </c>
      <c r="I82" s="86" t="n">
        <v>0</v>
      </c>
      <c r="J82" s="86" t="n">
        <v>0</v>
      </c>
      <c r="K82" s="86" t="n">
        <v>0</v>
      </c>
      <c r="L82" s="86" t="n">
        <v>1</v>
      </c>
      <c r="M82" s="83" t="n">
        <v>0</v>
      </c>
      <c r="N82" s="86" t="n">
        <v>0</v>
      </c>
      <c r="O82" s="86" t="n">
        <v>0</v>
      </c>
      <c r="P82" s="86" t="n">
        <v>1</v>
      </c>
      <c r="Q82" s="86" t="n">
        <v>1</v>
      </c>
      <c r="R82" s="83" t="n">
        <v>0</v>
      </c>
      <c r="S82" s="86" t="n">
        <v>0</v>
      </c>
      <c r="T82" s="86" t="n">
        <v>0</v>
      </c>
      <c r="U82" s="86" t="n">
        <v>2</v>
      </c>
      <c r="V82" s="86" t="n">
        <v>1</v>
      </c>
      <c r="W82" s="65" t="n">
        <f aca="false">SUM(C82:V82)</f>
        <v>9</v>
      </c>
      <c r="X82" s="85" t="n">
        <f aca="false">IFERROR(W82/W83,0)</f>
        <v>0.00985761226725082</v>
      </c>
    </row>
    <row r="83" customFormat="false" ht="16.5" hidden="false" customHeight="true" outlineLevel="0" collapsed="false">
      <c r="A83" s="62" t="s">
        <v>137</v>
      </c>
      <c r="B83" s="62"/>
      <c r="C83" s="87" t="n">
        <f aca="false">SUM(C38:C82)</f>
        <v>50</v>
      </c>
      <c r="D83" s="80" t="n">
        <f aca="false">SUM(D38:D82)</f>
        <v>32</v>
      </c>
      <c r="E83" s="80" t="n">
        <f aca="false">SUM(E38:E82)</f>
        <v>72</v>
      </c>
      <c r="F83" s="80" t="n">
        <f aca="false">SUM(F38:F82)</f>
        <v>70</v>
      </c>
      <c r="G83" s="80" t="n">
        <f aca="false">SUM(G38:G82)</f>
        <v>85</v>
      </c>
      <c r="H83" s="87" t="n">
        <f aca="false">SUM(H38:H82)</f>
        <v>46</v>
      </c>
      <c r="I83" s="80" t="n">
        <f aca="false">SUM(I38:I82)</f>
        <v>83</v>
      </c>
      <c r="J83" s="80" t="n">
        <f aca="false">SUM(J38:J82)</f>
        <v>31</v>
      </c>
      <c r="K83" s="80" t="n">
        <f aca="false">SUM(K38:K82)</f>
        <v>44</v>
      </c>
      <c r="L83" s="80" t="n">
        <f aca="false">SUM(L38:L82)</f>
        <v>59</v>
      </c>
      <c r="M83" s="87" t="n">
        <f aca="false">SUM(M38:M82)</f>
        <v>49</v>
      </c>
      <c r="N83" s="80" t="n">
        <f aca="false">SUM(N38:N82)</f>
        <v>48</v>
      </c>
      <c r="O83" s="80" t="n">
        <f aca="false">SUM(O38:O82)</f>
        <v>0</v>
      </c>
      <c r="P83" s="80" t="n">
        <f aca="false">SUM(P38:P82)</f>
        <v>74</v>
      </c>
      <c r="Q83" s="80" t="n">
        <f aca="false">SUM(Q38:Q82)</f>
        <v>68</v>
      </c>
      <c r="R83" s="87" t="n">
        <f aca="false">SUM(R38:R82)</f>
        <v>0</v>
      </c>
      <c r="S83" s="80" t="n">
        <f aca="false">SUM(S38:S82)</f>
        <v>0</v>
      </c>
      <c r="T83" s="80" t="n">
        <f aca="false">SUM(T38:T82)</f>
        <v>0</v>
      </c>
      <c r="U83" s="80" t="n">
        <f aca="false">SUM(U38:U82)</f>
        <v>50</v>
      </c>
      <c r="V83" s="80" t="n">
        <f aca="false">SUM(V38:V82)</f>
        <v>52</v>
      </c>
      <c r="W83" s="80" t="n">
        <f aca="false">SUM(W38:W82)</f>
        <v>913</v>
      </c>
      <c r="X83" s="88" t="s">
        <v>138</v>
      </c>
    </row>
  </sheetData>
  <mergeCells count="67">
    <mergeCell ref="A1:X1"/>
    <mergeCell ref="A2:B2"/>
    <mergeCell ref="C2:W2"/>
    <mergeCell ref="A4:C4"/>
    <mergeCell ref="D4:X4"/>
    <mergeCell ref="A6:X6"/>
    <mergeCell ref="A7:C7"/>
    <mergeCell ref="D7:F7"/>
    <mergeCell ref="G7:I7"/>
    <mergeCell ref="J7:L7"/>
    <mergeCell ref="M7:O7"/>
    <mergeCell ref="P7:R7"/>
    <mergeCell ref="A8:C8"/>
    <mergeCell ref="D8:F8"/>
    <mergeCell ref="G8:I8"/>
    <mergeCell ref="J8:L8"/>
    <mergeCell ref="M8:O8"/>
    <mergeCell ref="P8:R8"/>
    <mergeCell ref="A9:C9"/>
    <mergeCell ref="D9:F9"/>
    <mergeCell ref="G9:I9"/>
    <mergeCell ref="J9:L9"/>
    <mergeCell ref="M9:O9"/>
    <mergeCell ref="P9:R9"/>
    <mergeCell ref="A12:D12"/>
    <mergeCell ref="E12:H12"/>
    <mergeCell ref="I12:L12"/>
    <mergeCell ref="A13:D13"/>
    <mergeCell ref="E13:H13"/>
    <mergeCell ref="I13:L13"/>
    <mergeCell ref="A14:D14"/>
    <mergeCell ref="E14:H14"/>
    <mergeCell ref="I14:L14"/>
    <mergeCell ref="A16:X16"/>
    <mergeCell ref="A17:D17"/>
    <mergeCell ref="E17:N17"/>
    <mergeCell ref="O17:R17"/>
    <mergeCell ref="S17:X17"/>
    <mergeCell ref="A18:D18"/>
    <mergeCell ref="E18:X18"/>
    <mergeCell ref="A20:X20"/>
    <mergeCell ref="A21:D21"/>
    <mergeCell ref="E21:N21"/>
    <mergeCell ref="O21:R21"/>
    <mergeCell ref="S21:X21"/>
    <mergeCell ref="A22:D22"/>
    <mergeCell ref="E22:X22"/>
    <mergeCell ref="A25:X25"/>
    <mergeCell ref="A26:B26"/>
    <mergeCell ref="A27:B27"/>
    <mergeCell ref="A28:B28"/>
    <mergeCell ref="A29:B29"/>
    <mergeCell ref="A30:B30"/>
    <mergeCell ref="A31:B31"/>
    <mergeCell ref="A32:B32"/>
    <mergeCell ref="A33:B33"/>
    <mergeCell ref="A34:X34"/>
    <mergeCell ref="A36:X36"/>
    <mergeCell ref="A38:A40"/>
    <mergeCell ref="A41:A45"/>
    <mergeCell ref="A46:A49"/>
    <mergeCell ref="A50:A53"/>
    <mergeCell ref="A58:A69"/>
    <mergeCell ref="A70:A71"/>
    <mergeCell ref="A73:A74"/>
    <mergeCell ref="A75:A82"/>
    <mergeCell ref="A83:B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89" t="s">
        <v>139</v>
      </c>
    </row>
    <row r="2" customFormat="false" ht="15" hidden="false" customHeight="true" outlineLevel="0" collapsed="false">
      <c r="A2" s="80" t="s">
        <v>82</v>
      </c>
      <c r="B2" s="80" t="s">
        <v>140</v>
      </c>
    </row>
    <row r="3" customFormat="false" ht="15" hidden="false" customHeight="true" outlineLevel="0" collapsed="false">
      <c r="A3" s="90" t="s">
        <v>84</v>
      </c>
      <c r="B3" s="1" t="n">
        <v>4</v>
      </c>
    </row>
    <row r="4" customFormat="false" ht="15" hidden="false" customHeight="true" outlineLevel="0" collapsed="false">
      <c r="A4" s="90" t="s">
        <v>88</v>
      </c>
      <c r="B4" s="1" t="n">
        <v>13</v>
      </c>
    </row>
    <row r="5" customFormat="false" ht="15" hidden="false" customHeight="true" outlineLevel="0" collapsed="false">
      <c r="A5" s="90" t="s">
        <v>94</v>
      </c>
      <c r="B5" s="1" t="n">
        <v>12</v>
      </c>
    </row>
    <row r="6" customFormat="false" ht="15" hidden="false" customHeight="true" outlineLevel="0" collapsed="false">
      <c r="A6" s="90" t="s">
        <v>99</v>
      </c>
      <c r="B6" s="1" t="n">
        <v>16</v>
      </c>
    </row>
    <row r="7" customFormat="false" ht="15" hidden="false" customHeight="true" outlineLevel="0" collapsed="false">
      <c r="A7" s="90" t="s">
        <v>104</v>
      </c>
      <c r="B7" s="1" t="n">
        <v>0</v>
      </c>
    </row>
    <row r="8" customFormat="false" ht="15" hidden="false" customHeight="true" outlineLevel="0" collapsed="false">
      <c r="A8" s="90" t="s">
        <v>106</v>
      </c>
      <c r="B8" s="1" t="n">
        <v>0</v>
      </c>
    </row>
    <row r="9" customFormat="false" ht="15" hidden="false" customHeight="true" outlineLevel="0" collapsed="false">
      <c r="A9" s="90" t="s">
        <v>108</v>
      </c>
      <c r="B9" s="1" t="n">
        <v>0</v>
      </c>
    </row>
    <row r="10" customFormat="false" ht="15" hidden="false" customHeight="true" outlineLevel="0" collapsed="false">
      <c r="A10" s="90" t="s">
        <v>110</v>
      </c>
      <c r="B10" s="1" t="n">
        <v>1</v>
      </c>
    </row>
    <row r="11" customFormat="false" ht="15" hidden="false" customHeight="true" outlineLevel="0" collapsed="false">
      <c r="A11" s="90" t="s">
        <v>111</v>
      </c>
      <c r="B11" s="1" t="n">
        <v>47</v>
      </c>
    </row>
    <row r="12" customFormat="false" ht="15" hidden="false" customHeight="true" outlineLevel="0" collapsed="false">
      <c r="A12" s="90" t="s">
        <v>124</v>
      </c>
      <c r="B12" s="1" t="n">
        <v>0</v>
      </c>
    </row>
    <row r="13" customFormat="false" ht="15" hidden="false" customHeight="true" outlineLevel="0" collapsed="false">
      <c r="A13" s="90" t="s">
        <v>127</v>
      </c>
      <c r="B13" s="1" t="n">
        <v>0</v>
      </c>
    </row>
    <row r="14" customFormat="false" ht="15" hidden="false" customHeight="true" outlineLevel="0" collapsed="false">
      <c r="A14" s="90" t="s">
        <v>65</v>
      </c>
      <c r="B14" s="1" t="n">
        <v>2</v>
      </c>
    </row>
    <row r="15" customFormat="false" ht="15" hidden="false" customHeight="true" outlineLevel="0" collapsed="false">
      <c r="A15" s="90" t="s">
        <v>129</v>
      </c>
      <c r="B15" s="1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11" min="3" style="1" width="12"/>
  </cols>
  <sheetData>
    <row r="1" customFormat="false" ht="19.5" hidden="false" customHeight="true" outlineLevel="0" collapsed="false">
      <c r="A1" s="37" t="s">
        <v>141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customFormat="false" ht="13.5" hidden="false" customHeight="true" outlineLevel="0" collapsed="false">
      <c r="A2" s="79" t="s">
        <v>142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3" customFormat="false" ht="18" hidden="false" customHeight="true" outlineLevel="0" collapsed="false">
      <c r="A3" s="80" t="s">
        <v>143</v>
      </c>
      <c r="B3" s="80" t="s">
        <v>144</v>
      </c>
      <c r="D3" s="80" t="s">
        <v>143</v>
      </c>
      <c r="E3" s="80" t="s">
        <v>145</v>
      </c>
      <c r="F3" s="80" t="s">
        <v>144</v>
      </c>
      <c r="H3" s="62" t="s">
        <v>146</v>
      </c>
      <c r="I3" s="62"/>
      <c r="J3" s="80" t="s">
        <v>147</v>
      </c>
    </row>
    <row r="4" customFormat="false" ht="15.75" hidden="false" customHeight="true" outlineLevel="0" collapsed="false">
      <c r="A4" s="82" t="s">
        <v>148</v>
      </c>
      <c r="B4" s="91"/>
    </row>
    <row r="5" customFormat="false" ht="15.75" hidden="false" customHeight="true" outlineLevel="0" collapsed="false">
      <c r="A5" s="82" t="s">
        <v>149</v>
      </c>
      <c r="B5" s="91"/>
    </row>
    <row r="6" customFormat="false" ht="15.75" hidden="false" customHeight="true" outlineLevel="0" collapsed="false">
      <c r="A6" s="82" t="s">
        <v>150</v>
      </c>
      <c r="B6" s="91"/>
    </row>
    <row r="7" customFormat="false" ht="15.75" hidden="false" customHeight="true" outlineLevel="0" collapsed="false">
      <c r="A7" s="82" t="s">
        <v>151</v>
      </c>
      <c r="B7" s="91"/>
    </row>
    <row r="8" customFormat="false" ht="15.75" hidden="false" customHeight="true" outlineLevel="0" collapsed="false">
      <c r="A8" s="82" t="s">
        <v>152</v>
      </c>
      <c r="B8" s="91"/>
    </row>
    <row r="9" customFormat="false" ht="15.75" hidden="false" customHeight="true" outlineLevel="0" collapsed="false">
      <c r="A9" s="80" t="s">
        <v>75</v>
      </c>
      <c r="B9" s="80" t="n">
        <f aca="false">SUM(B4:B8)</f>
        <v>0</v>
      </c>
    </row>
    <row r="11" customFormat="false" ht="19.5" hidden="false" customHeight="true" outlineLevel="0" collapsed="false">
      <c r="A11" s="37" t="s">
        <v>153</v>
      </c>
      <c r="B11" s="37"/>
      <c r="C11" s="37"/>
      <c r="D11" s="37"/>
      <c r="E11" s="37"/>
    </row>
    <row r="12" customFormat="false" ht="13.5" hidden="false" customHeight="true" outlineLevel="0" collapsed="false">
      <c r="A12" s="79" t="s">
        <v>154</v>
      </c>
      <c r="B12" s="79"/>
      <c r="C12" s="79"/>
      <c r="D12" s="79"/>
      <c r="E12" s="79"/>
    </row>
    <row r="13" customFormat="false" ht="18" hidden="false" customHeight="true" outlineLevel="0" collapsed="false">
      <c r="A13" s="92" t="s">
        <v>155</v>
      </c>
      <c r="B13" s="80" t="s">
        <v>156</v>
      </c>
      <c r="C13" s="80" t="s">
        <v>157</v>
      </c>
      <c r="D13" s="80" t="s">
        <v>158</v>
      </c>
      <c r="E13" s="80" t="s">
        <v>159</v>
      </c>
    </row>
    <row r="14" customFormat="false" ht="15.75" hidden="false" customHeight="true" outlineLevel="0" collapsed="false">
      <c r="A14" s="93" t="s">
        <v>84</v>
      </c>
      <c r="B14" s="94"/>
      <c r="C14" s="94"/>
      <c r="D14" s="95" t="n">
        <f aca="false">B14-C14</f>
        <v>0</v>
      </c>
      <c r="E14" s="94" t="str">
        <f aca="false">IF(D14&gt;0,"▲",IF(D14&lt;0,"▼","－"))</f>
        <v>－</v>
      </c>
    </row>
    <row r="15" customFormat="false" ht="15.75" hidden="false" customHeight="true" outlineLevel="0" collapsed="false">
      <c r="A15" s="93" t="s">
        <v>88</v>
      </c>
      <c r="B15" s="94"/>
      <c r="C15" s="94"/>
      <c r="D15" s="95" t="n">
        <f aca="false">B15-C15</f>
        <v>0</v>
      </c>
      <c r="E15" s="94" t="str">
        <f aca="false">IF(D15&gt;0,"▲",IF(D15&lt;0,"▼","－"))</f>
        <v>－</v>
      </c>
    </row>
    <row r="16" customFormat="false" ht="15.75" hidden="false" customHeight="true" outlineLevel="0" collapsed="false">
      <c r="A16" s="93" t="s">
        <v>94</v>
      </c>
      <c r="B16" s="94"/>
      <c r="C16" s="94"/>
      <c r="D16" s="95" t="n">
        <f aca="false">B16-C16</f>
        <v>0</v>
      </c>
      <c r="E16" s="94" t="str">
        <f aca="false">IF(D16&gt;0,"▲",IF(D16&lt;0,"▼","－"))</f>
        <v>－</v>
      </c>
    </row>
    <row r="17" customFormat="false" ht="15.75" hidden="false" customHeight="true" outlineLevel="0" collapsed="false">
      <c r="A17" s="93" t="s">
        <v>160</v>
      </c>
      <c r="B17" s="94"/>
      <c r="C17" s="94"/>
      <c r="D17" s="95" t="n">
        <f aca="false">B17-C17</f>
        <v>0</v>
      </c>
      <c r="E17" s="94" t="str">
        <f aca="false">IF(D17&gt;0,"▲",IF(D17&lt;0,"▼","－"))</f>
        <v>－</v>
      </c>
    </row>
    <row r="18" customFormat="false" ht="15.75" hidden="false" customHeight="true" outlineLevel="0" collapsed="false">
      <c r="A18" s="93" t="s">
        <v>104</v>
      </c>
      <c r="B18" s="94"/>
      <c r="C18" s="94"/>
      <c r="D18" s="95" t="n">
        <f aca="false">B18-C18</f>
        <v>0</v>
      </c>
      <c r="E18" s="94" t="str">
        <f aca="false">IF(D18&gt;0,"▲",IF(D18&lt;0,"▼","－"))</f>
        <v>－</v>
      </c>
    </row>
    <row r="19" customFormat="false" ht="15.75" hidden="false" customHeight="true" outlineLevel="0" collapsed="false">
      <c r="A19" s="93" t="s">
        <v>109</v>
      </c>
      <c r="B19" s="94"/>
      <c r="C19" s="94"/>
      <c r="D19" s="95" t="n">
        <f aca="false">B19-C19</f>
        <v>0</v>
      </c>
      <c r="E19" s="94" t="str">
        <f aca="false">IF(D19&gt;0,"▲",IF(D19&lt;0,"▼","－"))</f>
        <v>－</v>
      </c>
    </row>
    <row r="20" customFormat="false" ht="15.75" hidden="false" customHeight="true" outlineLevel="0" collapsed="false">
      <c r="A20" s="93" t="s">
        <v>111</v>
      </c>
      <c r="B20" s="94"/>
      <c r="C20" s="94"/>
      <c r="D20" s="95" t="n">
        <f aca="false">B20-C20</f>
        <v>0</v>
      </c>
      <c r="E20" s="94" t="str">
        <f aca="false">IF(D20&gt;0,"▲",IF(D20&lt;0,"▼","－"))</f>
        <v>－</v>
      </c>
    </row>
    <row r="21" customFormat="false" ht="15.75" hidden="false" customHeight="true" outlineLevel="0" collapsed="false">
      <c r="A21" s="93" t="s">
        <v>136</v>
      </c>
      <c r="B21" s="94"/>
      <c r="C21" s="94"/>
      <c r="D21" s="95" t="n">
        <f aca="false">B21-C21</f>
        <v>0</v>
      </c>
      <c r="E21" s="94" t="str">
        <f aca="false">IF(D21&gt;0,"▲",IF(D21&lt;0,"▼","－"))</f>
        <v>－</v>
      </c>
    </row>
    <row r="22" customFormat="false" ht="15.75" hidden="false" customHeight="true" outlineLevel="0" collapsed="false">
      <c r="A22" s="93" t="s">
        <v>124</v>
      </c>
      <c r="B22" s="94"/>
      <c r="C22" s="94"/>
      <c r="D22" s="95" t="n">
        <f aca="false">B22-C22</f>
        <v>0</v>
      </c>
      <c r="E22" s="94" t="str">
        <f aca="false">IF(D22&gt;0,"▲",IF(D22&lt;0,"▼","－"))</f>
        <v>－</v>
      </c>
    </row>
    <row r="23" customFormat="false" ht="15.75" hidden="false" customHeight="true" outlineLevel="0" collapsed="false">
      <c r="A23" s="93" t="s">
        <v>65</v>
      </c>
      <c r="B23" s="94"/>
      <c r="C23" s="94"/>
      <c r="D23" s="95" t="n">
        <f aca="false">B23-C23</f>
        <v>0</v>
      </c>
      <c r="E23" s="94" t="str">
        <f aca="false">IF(D23&gt;0,"▲",IF(D23&lt;0,"▼","－"))</f>
        <v>－</v>
      </c>
    </row>
    <row r="24" customFormat="false" ht="15.75" hidden="false" customHeight="true" outlineLevel="0" collapsed="false">
      <c r="A24" s="93" t="s">
        <v>129</v>
      </c>
      <c r="B24" s="94"/>
      <c r="C24" s="94"/>
      <c r="D24" s="95" t="n">
        <f aca="false">B24-C24</f>
        <v>0</v>
      </c>
      <c r="E24" s="94" t="str">
        <f aca="false">IF(D24&gt;0,"▲",IF(D24&lt;0,"▼","－"))</f>
        <v>－</v>
      </c>
    </row>
    <row r="25" customFormat="false" ht="15.75" hidden="false" customHeight="true" outlineLevel="0" collapsed="false">
      <c r="A25" s="96" t="s">
        <v>161</v>
      </c>
      <c r="B25" s="97"/>
      <c r="C25" s="97"/>
      <c r="D25" s="98" t="n">
        <f aca="false">B25-C25</f>
        <v>0</v>
      </c>
      <c r="E25" s="97" t="str">
        <f aca="false">IF(D25&gt;0,"▲",IF(D25&lt;0,"▼","－"))</f>
        <v>－</v>
      </c>
    </row>
    <row r="28" customFormat="false" ht="19.5" hidden="false" customHeight="true" outlineLevel="0" collapsed="false">
      <c r="A28" s="37" t="s">
        <v>162</v>
      </c>
      <c r="B28" s="37"/>
      <c r="C28" s="37"/>
      <c r="D28" s="37"/>
      <c r="E28" s="37"/>
      <c r="F28" s="37"/>
      <c r="G28" s="37"/>
      <c r="H28" s="37"/>
    </row>
    <row r="29" customFormat="false" ht="13.5" hidden="false" customHeight="true" outlineLevel="0" collapsed="false">
      <c r="A29" s="79" t="s">
        <v>142</v>
      </c>
      <c r="B29" s="79"/>
      <c r="C29" s="79"/>
      <c r="D29" s="79"/>
      <c r="E29" s="79"/>
      <c r="F29" s="79"/>
      <c r="G29" s="79"/>
      <c r="H29" s="79"/>
    </row>
    <row r="30" customFormat="false" ht="18" hidden="false" customHeight="true" outlineLevel="0" collapsed="false">
      <c r="A30" s="92" t="s">
        <v>145</v>
      </c>
      <c r="B30" s="64" t="n">
        <f aca="false">操作パネル!$C$4</f>
        <v>0</v>
      </c>
      <c r="C30" s="64" t="n">
        <f aca="false">操作パネル!$C$4+1</f>
        <v>1</v>
      </c>
      <c r="D30" s="64" t="n">
        <f aca="false">操作パネル!$C$4+2</f>
        <v>2</v>
      </c>
      <c r="E30" s="64" t="n">
        <f aca="false">操作パネル!$C$4+3</f>
        <v>3</v>
      </c>
      <c r="F30" s="64" t="n">
        <f aca="false">操作パネル!$C$4+4</f>
        <v>4</v>
      </c>
      <c r="G30" s="80" t="s">
        <v>137</v>
      </c>
      <c r="H30" s="80" t="s">
        <v>163</v>
      </c>
    </row>
    <row r="31" customFormat="false" ht="15.75" hidden="false" customHeight="true" outlineLevel="0" collapsed="false">
      <c r="A31" s="99" t="s">
        <v>164</v>
      </c>
      <c r="B31" s="86"/>
      <c r="C31" s="86"/>
      <c r="D31" s="86"/>
      <c r="E31" s="86"/>
      <c r="F31" s="86"/>
      <c r="G31" s="86" t="n">
        <f aca="false">SUM(B31:F31)</f>
        <v>0</v>
      </c>
      <c r="H31" s="71" t="n">
        <f aca="false">IFERROR(G31/G41,0)</f>
        <v>0</v>
      </c>
    </row>
    <row r="32" customFormat="false" ht="15.75" hidden="false" customHeight="true" outlineLevel="0" collapsed="false">
      <c r="A32" s="99" t="s">
        <v>165</v>
      </c>
      <c r="B32" s="86"/>
      <c r="C32" s="86"/>
      <c r="D32" s="86"/>
      <c r="E32" s="86"/>
      <c r="F32" s="86"/>
      <c r="G32" s="86" t="n">
        <f aca="false">SUM(B32:F32)</f>
        <v>0</v>
      </c>
      <c r="H32" s="71" t="n">
        <f aca="false">IFERROR(G32/G41,0)</f>
        <v>0</v>
      </c>
    </row>
    <row r="33" customFormat="false" ht="15.75" hidden="false" customHeight="true" outlineLevel="0" collapsed="false">
      <c r="A33" s="99" t="s">
        <v>166</v>
      </c>
      <c r="B33" s="86"/>
      <c r="C33" s="86"/>
      <c r="D33" s="86"/>
      <c r="E33" s="86"/>
      <c r="F33" s="86"/>
      <c r="G33" s="86" t="n">
        <f aca="false">SUM(B33:F33)</f>
        <v>0</v>
      </c>
      <c r="H33" s="71" t="n">
        <f aca="false">IFERROR(G33/G41,0)</f>
        <v>0</v>
      </c>
    </row>
    <row r="34" customFormat="false" ht="15.75" hidden="false" customHeight="true" outlineLevel="0" collapsed="false">
      <c r="A34" s="99" t="s">
        <v>167</v>
      </c>
      <c r="B34" s="86"/>
      <c r="C34" s="86"/>
      <c r="D34" s="86"/>
      <c r="E34" s="86"/>
      <c r="F34" s="86"/>
      <c r="G34" s="86" t="n">
        <f aca="false">SUM(B34:F34)</f>
        <v>0</v>
      </c>
      <c r="H34" s="71" t="n">
        <f aca="false">IFERROR(G34/G41,0)</f>
        <v>0</v>
      </c>
    </row>
    <row r="35" customFormat="false" ht="15.75" hidden="false" customHeight="true" outlineLevel="0" collapsed="false">
      <c r="A35" s="99" t="s">
        <v>168</v>
      </c>
      <c r="B35" s="86"/>
      <c r="C35" s="86"/>
      <c r="D35" s="86"/>
      <c r="E35" s="86"/>
      <c r="F35" s="86"/>
      <c r="G35" s="86" t="n">
        <f aca="false">SUM(B35:F35)</f>
        <v>0</v>
      </c>
      <c r="H35" s="71" t="n">
        <f aca="false">IFERROR(G35/G41,0)</f>
        <v>0</v>
      </c>
    </row>
    <row r="36" customFormat="false" ht="15.75" hidden="false" customHeight="true" outlineLevel="0" collapsed="false">
      <c r="A36" s="99" t="s">
        <v>169</v>
      </c>
      <c r="B36" s="86"/>
      <c r="C36" s="86"/>
      <c r="D36" s="86"/>
      <c r="E36" s="86"/>
      <c r="F36" s="86"/>
      <c r="G36" s="86" t="n">
        <f aca="false">SUM(B36:F36)</f>
        <v>0</v>
      </c>
      <c r="H36" s="71" t="n">
        <f aca="false">IFERROR(G36/G41,0)</f>
        <v>0</v>
      </c>
    </row>
    <row r="37" customFormat="false" ht="15.75" hidden="false" customHeight="true" outlineLevel="0" collapsed="false">
      <c r="A37" s="99" t="s">
        <v>170</v>
      </c>
      <c r="B37" s="86"/>
      <c r="C37" s="86"/>
      <c r="D37" s="86"/>
      <c r="E37" s="86"/>
      <c r="F37" s="86"/>
      <c r="G37" s="86" t="n">
        <f aca="false">SUM(B37:F37)</f>
        <v>0</v>
      </c>
      <c r="H37" s="71" t="n">
        <f aca="false">IFERROR(G37/G41,0)</f>
        <v>0</v>
      </c>
    </row>
    <row r="38" customFormat="false" ht="15.75" hidden="false" customHeight="true" outlineLevel="0" collapsed="false">
      <c r="A38" s="99" t="s">
        <v>171</v>
      </c>
      <c r="B38" s="86"/>
      <c r="C38" s="86"/>
      <c r="D38" s="86"/>
      <c r="E38" s="86"/>
      <c r="F38" s="86"/>
      <c r="G38" s="86" t="n">
        <f aca="false">SUM(B38:F38)</f>
        <v>0</v>
      </c>
      <c r="H38" s="71" t="n">
        <f aca="false">IFERROR(G38/G41,0)</f>
        <v>0</v>
      </c>
    </row>
    <row r="39" customFormat="false" ht="15.75" hidden="false" customHeight="true" outlineLevel="0" collapsed="false">
      <c r="A39" s="99" t="s">
        <v>172</v>
      </c>
      <c r="B39" s="86"/>
      <c r="C39" s="86"/>
      <c r="D39" s="86"/>
      <c r="E39" s="86"/>
      <c r="F39" s="86"/>
      <c r="G39" s="86" t="n">
        <f aca="false">SUM(B39:F39)</f>
        <v>0</v>
      </c>
      <c r="H39" s="71" t="n">
        <f aca="false">IFERROR(G39/G41,0)</f>
        <v>0</v>
      </c>
    </row>
    <row r="40" customFormat="false" ht="15.75" hidden="false" customHeight="true" outlineLevel="0" collapsed="false">
      <c r="A40" s="99" t="s">
        <v>173</v>
      </c>
      <c r="B40" s="86"/>
      <c r="C40" s="86"/>
      <c r="D40" s="86"/>
      <c r="E40" s="86"/>
      <c r="F40" s="86"/>
      <c r="G40" s="86" t="n">
        <f aca="false">SUM(B40:F40)</f>
        <v>0</v>
      </c>
      <c r="H40" s="71" t="n">
        <f aca="false">IFERROR(G40/G41,0)</f>
        <v>0</v>
      </c>
    </row>
    <row r="41" customFormat="false" ht="15.75" hidden="false" customHeight="true" outlineLevel="0" collapsed="false">
      <c r="A41" s="92" t="s">
        <v>137</v>
      </c>
      <c r="B41" s="80" t="n">
        <f aca="false">SUM(B31:B40)</f>
        <v>0</v>
      </c>
      <c r="C41" s="80" t="n">
        <f aca="false">SUM(C31:C40)</f>
        <v>0</v>
      </c>
      <c r="D41" s="80" t="n">
        <f aca="false">SUM(D31:D40)</f>
        <v>0</v>
      </c>
      <c r="E41" s="80" t="n">
        <f aca="false">SUM(E31:E40)</f>
        <v>0</v>
      </c>
      <c r="F41" s="80" t="n">
        <f aca="false">SUM(F31:F40)</f>
        <v>0</v>
      </c>
      <c r="G41" s="80" t="n">
        <f aca="false">SUM(G31:G40)</f>
        <v>0</v>
      </c>
      <c r="H41" s="71"/>
    </row>
    <row r="43" customFormat="false" ht="19.5" hidden="false" customHeight="true" outlineLevel="0" collapsed="false">
      <c r="A43" s="37" t="s">
        <v>174</v>
      </c>
      <c r="B43" s="37"/>
      <c r="C43" s="37"/>
      <c r="D43" s="37"/>
      <c r="E43" s="37"/>
      <c r="F43" s="37"/>
      <c r="G43" s="37"/>
      <c r="H43" s="37"/>
    </row>
    <row r="44" customFormat="false" ht="13.5" hidden="false" customHeight="true" outlineLevel="0" collapsed="false">
      <c r="A44" s="79" t="s">
        <v>154</v>
      </c>
      <c r="B44" s="79"/>
      <c r="C44" s="79"/>
      <c r="D44" s="79"/>
      <c r="E44" s="79"/>
      <c r="F44" s="79"/>
      <c r="G44" s="79"/>
      <c r="H44" s="79"/>
    </row>
    <row r="45" customFormat="false" ht="18" hidden="false" customHeight="true" outlineLevel="0" collapsed="false">
      <c r="A45" s="80" t="s">
        <v>175</v>
      </c>
      <c r="B45" s="80" t="s">
        <v>176</v>
      </c>
      <c r="C45" s="64" t="n">
        <f aca="false">操作パネル!$C$4</f>
        <v>0</v>
      </c>
      <c r="D45" s="64" t="n">
        <f aca="false">操作パネル!$C$4+1</f>
        <v>1</v>
      </c>
      <c r="E45" s="64" t="n">
        <f aca="false">操作パネル!$C$4+2</f>
        <v>2</v>
      </c>
      <c r="F45" s="64" t="n">
        <f aca="false">操作パネル!$C$4+3</f>
        <v>3</v>
      </c>
      <c r="G45" s="64" t="n">
        <f aca="false">操作パネル!$C$4+4</f>
        <v>4</v>
      </c>
      <c r="H45" s="80" t="s">
        <v>75</v>
      </c>
    </row>
    <row r="46" customFormat="false" ht="15.75" hidden="false" customHeight="true" outlineLevel="0" collapsed="false">
      <c r="A46" s="94"/>
      <c r="B46" s="93"/>
      <c r="C46" s="94"/>
      <c r="D46" s="94"/>
      <c r="E46" s="94"/>
      <c r="F46" s="94"/>
      <c r="G46" s="94"/>
      <c r="H46" s="65" t="n">
        <f aca="false">SUM(C46:G46)</f>
        <v>0</v>
      </c>
    </row>
    <row r="47" customFormat="false" ht="15.75" hidden="false" customHeight="true" outlineLevel="0" collapsed="false">
      <c r="A47" s="94"/>
      <c r="B47" s="93"/>
      <c r="C47" s="94"/>
      <c r="D47" s="94"/>
      <c r="E47" s="94"/>
      <c r="F47" s="94"/>
      <c r="G47" s="94"/>
      <c r="H47" s="65" t="n">
        <f aca="false">SUM(C47:G47)</f>
        <v>0</v>
      </c>
    </row>
    <row r="48" customFormat="false" ht="15.75" hidden="false" customHeight="true" outlineLevel="0" collapsed="false">
      <c r="A48" s="94"/>
      <c r="B48" s="93"/>
      <c r="C48" s="94"/>
      <c r="D48" s="94"/>
      <c r="E48" s="94"/>
      <c r="F48" s="94"/>
      <c r="G48" s="94"/>
      <c r="H48" s="65" t="n">
        <f aca="false">SUM(C48:G48)</f>
        <v>0</v>
      </c>
    </row>
    <row r="49" customFormat="false" ht="15.75" hidden="false" customHeight="true" outlineLevel="0" collapsed="false">
      <c r="A49" s="94"/>
      <c r="B49" s="93"/>
      <c r="C49" s="94"/>
      <c r="D49" s="94"/>
      <c r="E49" s="94"/>
      <c r="F49" s="94"/>
      <c r="G49" s="94"/>
      <c r="H49" s="65" t="n">
        <f aca="false">SUM(C49:G49)</f>
        <v>0</v>
      </c>
    </row>
    <row r="50" customFormat="false" ht="15.75" hidden="false" customHeight="true" outlineLevel="0" collapsed="false">
      <c r="A50" s="94"/>
      <c r="B50" s="93"/>
      <c r="C50" s="94"/>
      <c r="D50" s="94"/>
      <c r="E50" s="94"/>
      <c r="F50" s="94"/>
      <c r="G50" s="94"/>
      <c r="H50" s="65" t="n">
        <f aca="false">SUM(C50:G50)</f>
        <v>0</v>
      </c>
    </row>
    <row r="51" customFormat="false" ht="15.75" hidden="false" customHeight="true" outlineLevel="0" collapsed="false">
      <c r="A51" s="94"/>
      <c r="B51" s="93"/>
      <c r="C51" s="94"/>
      <c r="D51" s="94"/>
      <c r="E51" s="94"/>
      <c r="F51" s="94"/>
      <c r="G51" s="94"/>
      <c r="H51" s="65" t="n">
        <f aca="false">SUM(C51:G51)</f>
        <v>0</v>
      </c>
    </row>
    <row r="52" customFormat="false" ht="15.75" hidden="false" customHeight="true" outlineLevel="0" collapsed="false">
      <c r="A52" s="94"/>
      <c r="B52" s="93"/>
      <c r="C52" s="94"/>
      <c r="D52" s="94"/>
      <c r="E52" s="94"/>
      <c r="F52" s="94"/>
      <c r="G52" s="94"/>
      <c r="H52" s="65" t="n">
        <f aca="false">SUM(C52:G52)</f>
        <v>0</v>
      </c>
    </row>
    <row r="53" customFormat="false" ht="15.75" hidden="false" customHeight="true" outlineLevel="0" collapsed="false">
      <c r="A53" s="94"/>
      <c r="B53" s="93"/>
      <c r="C53" s="94"/>
      <c r="D53" s="94"/>
      <c r="E53" s="94"/>
      <c r="F53" s="94"/>
      <c r="G53" s="94"/>
      <c r="H53" s="65" t="n">
        <f aca="false">SUM(C53:G53)</f>
        <v>0</v>
      </c>
    </row>
    <row r="54" customFormat="false" ht="15.75" hidden="false" customHeight="true" outlineLevel="0" collapsed="false">
      <c r="A54" s="94"/>
      <c r="B54" s="93"/>
      <c r="C54" s="94"/>
      <c r="D54" s="94"/>
      <c r="E54" s="94"/>
      <c r="F54" s="94"/>
      <c r="G54" s="94"/>
      <c r="H54" s="65" t="n">
        <f aca="false">SUM(C54:G54)</f>
        <v>0</v>
      </c>
    </row>
    <row r="55" customFormat="false" ht="15.75" hidden="false" customHeight="true" outlineLevel="0" collapsed="false">
      <c r="A55" s="94"/>
      <c r="B55" s="93"/>
      <c r="C55" s="94"/>
      <c r="D55" s="94"/>
      <c r="E55" s="94"/>
      <c r="F55" s="94"/>
      <c r="G55" s="94"/>
      <c r="H55" s="65" t="n">
        <f aca="false">SUM(C55:G55)</f>
        <v>0</v>
      </c>
    </row>
    <row r="56" customFormat="false" ht="15.75" hidden="false" customHeight="true" outlineLevel="0" collapsed="false">
      <c r="A56" s="94"/>
      <c r="B56" s="93"/>
      <c r="C56" s="94"/>
      <c r="D56" s="94"/>
      <c r="E56" s="94"/>
      <c r="F56" s="94"/>
      <c r="G56" s="94"/>
      <c r="H56" s="65" t="n">
        <f aca="false">SUM(C56:G56)</f>
        <v>0</v>
      </c>
    </row>
    <row r="57" customFormat="false" ht="15.75" hidden="false" customHeight="true" outlineLevel="0" collapsed="false">
      <c r="A57" s="94"/>
      <c r="B57" s="93"/>
      <c r="C57" s="94"/>
      <c r="D57" s="94"/>
      <c r="E57" s="94"/>
      <c r="F57" s="94"/>
      <c r="G57" s="94"/>
      <c r="H57" s="65" t="n">
        <f aca="false">SUM(C57:G57)</f>
        <v>0</v>
      </c>
    </row>
    <row r="58" customFormat="false" ht="15.75" hidden="false" customHeight="true" outlineLevel="0" collapsed="false">
      <c r="A58" s="94"/>
      <c r="B58" s="93"/>
      <c r="C58" s="94"/>
      <c r="D58" s="94"/>
      <c r="E58" s="94"/>
      <c r="F58" s="94"/>
      <c r="G58" s="94"/>
      <c r="H58" s="65" t="n">
        <f aca="false">SUM(C58:G58)</f>
        <v>0</v>
      </c>
    </row>
    <row r="59" customFormat="false" ht="15.75" hidden="false" customHeight="true" outlineLevel="0" collapsed="false">
      <c r="A59" s="94"/>
      <c r="B59" s="93"/>
      <c r="C59" s="94"/>
      <c r="D59" s="94"/>
      <c r="E59" s="94"/>
      <c r="F59" s="94"/>
      <c r="G59" s="94"/>
      <c r="H59" s="65" t="n">
        <f aca="false">SUM(C59:G59)</f>
        <v>0</v>
      </c>
    </row>
    <row r="60" customFormat="false" ht="15.75" hidden="false" customHeight="true" outlineLevel="0" collapsed="false">
      <c r="A60" s="94"/>
      <c r="B60" s="93"/>
      <c r="C60" s="94"/>
      <c r="D60" s="94"/>
      <c r="E60" s="94"/>
      <c r="F60" s="94"/>
      <c r="G60" s="94"/>
      <c r="H60" s="65" t="n">
        <f aca="false">SUM(C60:G60)</f>
        <v>0</v>
      </c>
    </row>
    <row r="61" customFormat="false" ht="15.75" hidden="false" customHeight="true" outlineLevel="0" collapsed="false">
      <c r="A61" s="94"/>
      <c r="B61" s="93"/>
      <c r="C61" s="94"/>
      <c r="D61" s="94"/>
      <c r="E61" s="94"/>
      <c r="F61" s="94"/>
      <c r="G61" s="94"/>
      <c r="H61" s="65" t="n">
        <f aca="false">SUM(C61:G61)</f>
        <v>0</v>
      </c>
    </row>
    <row r="62" customFormat="false" ht="15.75" hidden="false" customHeight="true" outlineLevel="0" collapsed="false">
      <c r="A62" s="94"/>
      <c r="B62" s="93"/>
      <c r="C62" s="94"/>
      <c r="D62" s="94"/>
      <c r="E62" s="94"/>
      <c r="F62" s="94"/>
      <c r="G62" s="94"/>
      <c r="H62" s="65" t="n">
        <f aca="false">SUM(C62:G62)</f>
        <v>0</v>
      </c>
    </row>
    <row r="63" customFormat="false" ht="15.75" hidden="false" customHeight="true" outlineLevel="0" collapsed="false">
      <c r="A63" s="94"/>
      <c r="B63" s="93"/>
      <c r="C63" s="94"/>
      <c r="D63" s="94"/>
      <c r="E63" s="94"/>
      <c r="F63" s="94"/>
      <c r="G63" s="94"/>
      <c r="H63" s="65" t="n">
        <f aca="false">SUM(C63:G63)</f>
        <v>0</v>
      </c>
    </row>
    <row r="64" customFormat="false" ht="15.75" hidden="false" customHeight="true" outlineLevel="0" collapsed="false">
      <c r="A64" s="94"/>
      <c r="B64" s="93"/>
      <c r="C64" s="94"/>
      <c r="D64" s="94"/>
      <c r="E64" s="94"/>
      <c r="F64" s="94"/>
      <c r="G64" s="94"/>
      <c r="H64" s="65" t="n">
        <f aca="false">SUM(C64:G64)</f>
        <v>0</v>
      </c>
    </row>
    <row r="65" customFormat="false" ht="15.75" hidden="false" customHeight="true" outlineLevel="0" collapsed="false">
      <c r="A65" s="94"/>
      <c r="B65" s="93"/>
      <c r="C65" s="94"/>
      <c r="D65" s="94"/>
      <c r="E65" s="94"/>
      <c r="F65" s="94"/>
      <c r="G65" s="94"/>
      <c r="H65" s="65" t="n">
        <f aca="false">SUM(C65:G65)</f>
        <v>0</v>
      </c>
    </row>
  </sheetData>
  <mergeCells count="9">
    <mergeCell ref="A1:K1"/>
    <mergeCell ref="A2:K2"/>
    <mergeCell ref="H3:I3"/>
    <mergeCell ref="A11:E11"/>
    <mergeCell ref="A12:E12"/>
    <mergeCell ref="A28:H28"/>
    <mergeCell ref="A29:H29"/>
    <mergeCell ref="A43:H43"/>
    <mergeCell ref="A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2026-05-18T03:45:46Z</dcterms:created>
  <dc:creator>openpyxl</dc:creator>
  <dc:description/>
  <dc:language>en-US</dc:language>
  <cp:lastModifiedBy/>
  <dcterms:modified xsi:type="dcterms:W3CDTF">2026-05-18T05:25:43Z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